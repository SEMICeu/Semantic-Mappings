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ublic Organisation\Schema.org\"/>
    </mc:Choice>
  </mc:AlternateContent>
  <xr:revisionPtr revIDLastSave="0" documentId="13_ncr:1_{E1407043-201D-492E-80CD-1763583DA33A}" xr6:coauthVersionLast="47" xr6:coauthVersionMax="47" xr10:uidLastSave="{00000000-0000-0000-0000-000000000000}"/>
  <bookViews>
    <workbookView minimized="1" xWindow="0" yWindow="4470" windowWidth="19300" windowHeight="677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5" i="2" l="1"/>
  <c r="A69" i="2"/>
  <c r="A68" i="2"/>
  <c r="A67" i="2"/>
  <c r="A22" i="2"/>
  <c r="A23" i="2"/>
  <c r="A24" i="2"/>
  <c r="A26" i="2"/>
  <c r="A27" i="2"/>
  <c r="A28" i="2"/>
  <c r="A29" i="2"/>
  <c r="A30" i="2"/>
  <c r="A31" i="2"/>
  <c r="A32" i="2"/>
  <c r="A33" i="2"/>
  <c r="A34" i="2"/>
  <c r="A35" i="2"/>
  <c r="A42" i="2"/>
  <c r="A43" i="2"/>
  <c r="A44" i="2"/>
  <c r="A45" i="2"/>
  <c r="A46" i="2"/>
  <c r="A47" i="2"/>
  <c r="A48" i="2"/>
  <c r="A49" i="2"/>
  <c r="A50" i="2"/>
  <c r="A51" i="2"/>
  <c r="A52" i="2"/>
  <c r="A53" i="2"/>
  <c r="A54" i="2"/>
  <c r="A55" i="2"/>
  <c r="A56" i="2"/>
  <c r="A57" i="2"/>
  <c r="A58" i="2"/>
  <c r="A59" i="2"/>
  <c r="A60" i="2"/>
  <c r="A61" i="2"/>
  <c r="A62" i="2"/>
  <c r="A63" i="2"/>
  <c r="A64" i="2"/>
  <c r="A65" i="2"/>
  <c r="A66" i="2"/>
  <c r="A9" i="2"/>
  <c r="A10" i="2"/>
  <c r="A11" i="2"/>
  <c r="A12" i="2"/>
  <c r="A13" i="2"/>
  <c r="A14" i="2"/>
  <c r="A15" i="2"/>
  <c r="A16" i="2"/>
  <c r="A17" i="2"/>
  <c r="A18" i="2"/>
  <c r="A19" i="2"/>
  <c r="A20" i="2"/>
  <c r="A21" i="2"/>
  <c r="A36" i="2"/>
  <c r="A37" i="2"/>
  <c r="A38" i="2"/>
  <c r="A39" i="2"/>
  <c r="A40" i="2"/>
  <c r="A41"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<sst xmlns="http://schemas.openxmlformats.org/spreadsheetml/2006/main" count="419" uniqueCount="158">
  <si>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</si>
  <si>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</si>
  <si>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</si>
  <si>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</si>
  <si>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</si>
  <si>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</si>
  <si>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</si>
  <si>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</si>
  <si>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</si>
  <si>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</si>
  <si>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</si>
  <si>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</si>
  <si>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</si>
  <si>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</si>
  <si>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</si>
  <si>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</si>
  <si>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</si>
  <si>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</si>
  <si>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</si>
  <si>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</si>
  <si>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</si>
  <si>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</si>
  <si>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</si>
  <si>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</si>
  <si>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</si>
  <si>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</si>
  <si>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</si>
  <si>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</si>
  <si>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</si>
  <si>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</si>
  <si>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</si>
  <si>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</si>
  <si>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</si>
  <si>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</si>
  <si>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</si>
  <si>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</si>
  <si>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</si>
  <si>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</si>
  <si>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</si>
  <si>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</si>
  <si>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</si>
  <si>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</si>
  <si>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</si>
  <si>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</si>
  <si>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</si>
  <si>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</si>
  <si>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</si>
  <si>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</si>
  <si>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</si>
  <si>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</si>
  <si>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</si>
  <si>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</si>
  <si>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http://data.europa.eu/m8g/</t>
  </si>
  <si>
    <t>sssom:mapping_justification</t>
  </si>
  <si>
    <t>semapv</t>
  </si>
  <si>
    <t>https://w3id.org/semapv/vocab/</t>
  </si>
  <si>
    <t>semapv:MappingReview</t>
  </si>
  <si>
    <t>owl:annotatedProperty</t>
  </si>
  <si>
    <t>http://www.w3.org/ns/adms#Identifier</t>
  </si>
  <si>
    <t>http://purl.org/dc/terms/issued</t>
  </si>
  <si>
    <t>http://www.w3.org/ns/adms#schemeAgency</t>
  </si>
  <si>
    <t>http://www.w3.org/2004/02/skos/core#notation</t>
  </si>
  <si>
    <t>http://www.w3.org/2000/01/rdf-schema#label</t>
  </si>
  <si>
    <t>http://purl.org/dc/terms/conformsTo</t>
  </si>
  <si>
    <t>https://schema.org/alternateName</t>
  </si>
  <si>
    <t>https://schema.org/Organization</t>
  </si>
  <si>
    <t>rdfs:subClassOf</t>
  </si>
  <si>
    <t>The target entity can have multiple values</t>
  </si>
  <si>
    <t>If schema:location is expressed as Text, locatorName could be equivalent.</t>
  </si>
  <si>
    <t>https://schema.org/name</t>
  </si>
  <si>
    <t>http://data.europa.eu/88u/dataset/atu-type</t>
  </si>
  <si>
    <t>http://mapping.semic.eu/cpov/sdo</t>
  </si>
  <si>
    <t>cpovsdo</t>
  </si>
  <si>
    <t>http://mapping.semic.eu/cpov/sdo/</t>
  </si>
  <si>
    <t>Alignment of Core Public Organisation with Schema.org</t>
  </si>
  <si>
    <t>http://www.w3.org/ns/org#ChangeEvent</t>
  </si>
  <si>
    <t>http://purl.org/dc/terms/description</t>
  </si>
  <si>
    <t>http://www.w3.org/ns/prov#endedAtTime</t>
  </si>
  <si>
    <t>http://www.w3.org/ns/org#originalOrganization</t>
  </si>
  <si>
    <t>http://www.w3.org/ns/org#resultingOrganization</t>
  </si>
  <si>
    <t>http://www.w3.org/ns/prov#startedAtTime</t>
  </si>
  <si>
    <t>http://data.europa.eu/m8g/ContactPoint</t>
  </si>
  <si>
    <t>http://data.europa.eu/m8g/specialOpeningHoursSpecification</t>
  </si>
  <si>
    <t>http://data.europa.eu/m8g/contactPage</t>
  </si>
  <si>
    <t>http://data.europa.eu/m8g/email</t>
  </si>
  <si>
    <t>http://data.europa.eu/m8g/telephone</t>
  </si>
  <si>
    <t>http://data.europa.eu/m8g/openingHours</t>
  </si>
  <si>
    <t>http://xmlns.com/foaf/0.1/Document</t>
  </si>
  <si>
    <t>http://data.europa.eu/m8g/ImageObject</t>
  </si>
  <si>
    <t>http://www.w3.org/ns/org#Organization</t>
  </si>
  <si>
    <t>http://www.w3.org/ns/org#OrganizationalUnit</t>
  </si>
  <si>
    <t>http://www.w3.org/ns/org#unitOf</t>
  </si>
  <si>
    <t>http://data.europa.eu/m8g/PublicOrganisation</t>
  </si>
  <si>
    <t>http://www.w3.org/ns/locn#address</t>
  </si>
  <si>
    <t>http://www.w3.org/2004/02/skos/core#altLabel</t>
  </si>
  <si>
    <t>http://www.w3.org/ns/org#changedBy</t>
  </si>
  <si>
    <t>http://www.w3.org/ns/org#classification</t>
  </si>
  <si>
    <t>http://data.europa.eu/m8g/contactPoint</t>
  </si>
  <si>
    <t>http://www.w3.org/ns/org#hasMember</t>
  </si>
  <si>
    <t>http://www.w3.org/ns/org#hasSubOrganization</t>
  </si>
  <si>
    <t>http://www.w3.org/ns/org#hasUnit</t>
  </si>
  <si>
    <t>http://xmlns.com/foaf/0.1/homepage</t>
  </si>
  <si>
    <t>http://www.w3.org/ns/adms#identifier</t>
  </si>
  <si>
    <t>http://data.europa.eu/m8g/logo</t>
  </si>
  <si>
    <t>http://www.w3.org/ns/org#memberOf</t>
  </si>
  <si>
    <t>http://www.w3.org/1999/xhtml/vocab#next</t>
  </si>
  <si>
    <t>http://www.w3.org/2004/02/skos/core#prefLabel</t>
  </si>
  <si>
    <t>http://www.w3.org/1999/xhtml/vocab#prev</t>
  </si>
  <si>
    <t>http://www.w3.org/ns/org#purpose</t>
  </si>
  <si>
    <t>http://www.w3.org/ns/org#resultedFrom</t>
  </si>
  <si>
    <t>http://purl.org/dc/terms/spatial</t>
  </si>
  <si>
    <t>http://www.w3.org/ns/org#subOrganizationOf</t>
  </si>
  <si>
    <t>https://schema.org/AdministrativeArea</t>
  </si>
  <si>
    <t>https://schema.org/Event</t>
  </si>
  <si>
    <t>https://schema.org/description</t>
  </si>
  <si>
    <t>https://schema.org/ContactPoint</t>
  </si>
  <si>
    <t>https://schema.org/ImageObject</t>
  </si>
  <si>
    <t>https://schema.org/endDate</t>
  </si>
  <si>
    <t>https://schema.org/specialOpeningHoursSpecification</t>
  </si>
  <si>
    <t>https://schema.org/email</t>
  </si>
  <si>
    <t>https://schema.org/telephone</t>
  </si>
  <si>
    <t>https://schema.org/openingHours</t>
  </si>
  <si>
    <t>https://schema.org/event</t>
  </si>
  <si>
    <t>https://schema.org/contactPoint</t>
  </si>
  <si>
    <t>https://schema.org/memberOf</t>
  </si>
  <si>
    <t>In Core Location addressArea is for a part of city while schema:addressLocality could indicate a city.</t>
  </si>
  <si>
    <t>In CPOV it denotes a description of a Change Event.</t>
  </si>
  <si>
    <t>https://schema.org/startDate</t>
  </si>
  <si>
    <t>https://schema.org/member</t>
  </si>
  <si>
    <t>In CPOV it denotes a relation with a Public Organisation</t>
  </si>
  <si>
    <t>https://schema.org/subOrganization</t>
  </si>
  <si>
    <t>https://schema.org/department</t>
  </si>
  <si>
    <t>schema:isicV4 is considered a narrower concept as it is a particular code list values, thus not mapped.</t>
  </si>
  <si>
    <t>https://schema.org/logo</t>
  </si>
  <si>
    <t>https://schema.org/areaServed</t>
  </si>
  <si>
    <t>https://schema.org/parentOrganization</t>
  </si>
  <si>
    <t>In CPOV it denotes a description of a Public Organisation.</t>
  </si>
  <si>
    <t>In CPOV it denotes an alternative name of a Public Organisation.</t>
  </si>
  <si>
    <t>In CPOV it denotes an address of a Public Organisation.</t>
  </si>
  <si>
    <t>In CPOV it denotes a logo of a Public Organisation</t>
  </si>
  <si>
    <t>https://schema.org/mainEntityOfPage</t>
  </si>
  <si>
    <t>https://schema.org/datePublished</t>
  </si>
  <si>
    <t>In CPOV it denotes the date in which an Identifier is issued</t>
  </si>
  <si>
    <t>It describes an alignment between Core Public Organisation and Schema.org.
The spreadsheet can be converted in RDF format using SKOS Play!. The RDF format is based on the Aligment Format and on SSSOM.</t>
  </si>
  <si>
    <t>dct:modified^^xsd:date</t>
  </si>
  <si>
    <t>dct:description@en</t>
  </si>
  <si>
    <t>rdfs:comment@en</t>
  </si>
  <si>
    <t>dct:title@en</t>
  </si>
  <si>
    <t>https://schema.org/category</t>
  </si>
  <si>
    <t>http://data.europa.eu/m8g/frequency</t>
  </si>
  <si>
    <t>http://www.w3.org/2006/time#TemporalEntity</t>
  </si>
  <si>
    <t>https://schema.org/repeatFrequency</t>
  </si>
  <si>
    <t>In CPOV it denotes a description of a Temporal Entity</t>
  </si>
  <si>
    <t>http://data.europa.eu/m8g/ReferenceFramework</t>
  </si>
  <si>
    <t>http://purl.org/dc/terms/identifier</t>
  </si>
  <si>
    <t>In CPOV it denotes the identifier of a ReferenceFramework</t>
  </si>
  <si>
    <t>2.1.1</t>
  </si>
  <si>
    <t>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</si>
</sst>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0">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rgb="FF000000"/>
      </left>
      <right/>
      <top/>
      <bottom/>
      <diagonal/>
    </border>
    <border>
      <left style="thin">
        <color indexed="64"/>
      </left>
      <right/>
      <top/>
      <bottom/>
      <diagonal/>
    </border>
  </borders>
  <cellStyleXfs count="3">
    <xf numFmtId="0" fontId="0" fillId="0" borderId="0"/>
    <xf numFmtId="0" fontId="10" fillId="0" borderId="0" applyNumberFormat="0" applyFill="0" applyBorder="0" applyAlignment="0" applyProtection="0"/>
    <xf numFmtId="0" fontId="13" fillId="0" borderId="0"/>
  </cellStyleXfs>
  <cellXfs count="80">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3" fillId="0" borderId="14" xfId="0" applyFont="1" applyBorder="1"/>
    <xf numFmtId="0" fontId="2" fillId="0" borderId="14" xfId="0" applyFont="1" applyBorder="1"/>
    <xf numFmtId="0" fontId="13" fillId="0" borderId="16" xfId="0" applyFont="1" applyBorder="1"/>
    <xf numFmtId="0" fontId="10" fillId="0" borderId="8" xfId="1" applyBorder="1"/>
    <xf numFmtId="0" fontId="13" fillId="0" borderId="17" xfId="0" applyFont="1" applyBorder="1"/>
    <xf numFmtId="0" fontId="15" fillId="0" borderId="9" xfId="0" applyFont="1" applyBorder="1"/>
    <xf numFmtId="0" fontId="2" fillId="0" borderId="0" xfId="0" applyFont="1" applyBorder="1"/>
    <xf numFmtId="0" fontId="9" fillId="0" borderId="18" xfId="0" applyFont="1" applyBorder="1"/>
    <xf numFmtId="0" fontId="13" fillId="0" borderId="14" xfId="0" applyFont="1" applyBorder="1" applyAlignment="1">
      <alignment horizontal="center"/>
    </xf>
    <xf numFmtId="0" fontId="13" fillId="0" borderId="8" xfId="2" applyBorder="1"/>
    <xf numFmtId="0" fontId="2" fillId="0" borderId="8" xfId="2" applyFont="1" applyBorder="1"/>
    <xf numFmtId="0" fontId="10" fillId="0" borderId="8" xfId="1" applyBorder="1" applyAlignment="1"/>
    <xf numFmtId="165" fontId="2" fillId="0" borderId="8" xfId="2" applyNumberFormat="1" applyFont="1" applyBorder="1" applyAlignment="1">
      <alignment horizontal="right"/>
    </xf>
    <xf numFmtId="0" fontId="13" fillId="0" borderId="8" xfId="2" applyBorder="1" applyAlignment="1">
      <alignment horizontal="center"/>
    </xf>
    <xf numFmtId="0" fontId="13" fillId="0" borderId="8" xfId="2" applyFont="1" applyBorder="1"/>
    <xf numFmtId="165" fontId="2" fillId="0" borderId="14" xfId="0" applyNumberFormat="1" applyFont="1" applyBorder="1" applyAlignment="1">
      <alignment horizontal="right"/>
    </xf>
    <xf numFmtId="0" fontId="13" fillId="0" borderId="19" xfId="0" applyFont="1" applyBorder="1"/>
    <xf numFmtId="0" fontId="0" fillId="0" borderId="17" xfId="0" applyBorder="1"/>
    <xf numFmtId="0" fontId="0" fillId="0" borderId="14" xfId="0" applyBorder="1"/>
    <xf numFmtId="0" fontId="9" fillId="0" borderId="8" xfId="0" applyFont="1" applyBorder="1"/>
    <xf numFmtId="0" fontId="15" fillId="0" borderId="8" xfId="0" applyFont="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14EDCAC3-D7E1-4FF5-A40F-222244685E0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o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o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o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department" TargetMode="External"/><Relationship Id="rId3" Type="http://schemas.openxmlformats.org/officeDocument/2006/relationships/hyperlink" Target="http://mapping.semic.eu/cpov/sdo" TargetMode="External"/><Relationship Id="rId21" Type="http://schemas.openxmlformats.org/officeDocument/2006/relationships/printerSettings" Target="../printerSettings/printerSettings2.bin"/><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telephone" TargetMode="External"/><Relationship Id="rId2" Type="http://schemas.openxmlformats.org/officeDocument/2006/relationships/hyperlink" Target="http://mapping.semic.eu/cpov/sdo/" TargetMode="External"/><Relationship Id="rId16" Type="http://schemas.openxmlformats.org/officeDocument/2006/relationships/hyperlink" Target="https://schema.org/location" TargetMode="External"/><Relationship Id="rId20" Type="http://schemas.openxmlformats.org/officeDocument/2006/relationships/hyperlink" Target="https://schema.org/descript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10" Type="http://schemas.openxmlformats.org/officeDocument/2006/relationships/hyperlink" Target="http://schema.org/postalCode" TargetMode="External"/><Relationship Id="rId19" Type="http://schemas.openxmlformats.org/officeDocument/2006/relationships/hyperlink" Target="https://schema.org/openingHours"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A14" sqref="A14"/>
    </sheetView>
  </sheetViews>
  <sheetFormatPr defaultColWidth="12.54296875" defaultRowHeight="15.75" customHeight="1" x14ac:dyDescent="0.25"/>
  <cols>
    <col min="1" max="1" width="21.8164062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2" t="s">
        <v>71</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72</v>
      </c>
      <c r="C4" s="22" t="s">
        <v>73</v>
      </c>
      <c r="D4" s="2"/>
      <c r="E4" s="2"/>
      <c r="F4" s="2"/>
      <c r="G4" s="5"/>
    </row>
    <row r="5" spans="1:7" ht="13" x14ac:dyDescent="0.3">
      <c r="A5" s="1" t="s">
        <v>6</v>
      </c>
      <c r="B5" s="12" t="s">
        <v>17</v>
      </c>
      <c r="C5" s="2"/>
      <c r="D5" s="2"/>
      <c r="E5" s="2"/>
      <c r="F5" s="2"/>
      <c r="G5" s="5"/>
    </row>
    <row r="6" spans="1:7" ht="13" x14ac:dyDescent="0.3">
      <c r="A6" s="1" t="s">
        <v>7</v>
      </c>
      <c r="B6" s="7">
        <v>45363</v>
      </c>
      <c r="C6" s="2"/>
      <c r="D6" s="2"/>
      <c r="E6" s="2"/>
      <c r="F6" s="2"/>
      <c r="G6" s="5"/>
    </row>
    <row r="7" spans="1:7" ht="13" x14ac:dyDescent="0.3">
      <c r="A7" s="1" t="s">
        <v>144</v>
      </c>
      <c r="B7" s="7">
        <v>45363</v>
      </c>
      <c r="C7" s="3"/>
      <c r="D7" s="2"/>
      <c r="E7" s="2"/>
      <c r="F7" s="2"/>
      <c r="G7" s="5"/>
    </row>
    <row r="8" spans="1:7" ht="13" x14ac:dyDescent="0.3">
      <c r="A8" s="1" t="s">
        <v>41</v>
      </c>
      <c r="B8" s="78" t="s">
        <v>8</v>
      </c>
      <c r="C8" s="79"/>
      <c r="D8" s="2"/>
      <c r="E8" s="2"/>
      <c r="F8" s="2"/>
      <c r="G8" s="5"/>
    </row>
    <row r="9" spans="1:7" ht="13" x14ac:dyDescent="0.3">
      <c r="A9" s="1" t="s">
        <v>9</v>
      </c>
      <c r="B9" s="8" t="s">
        <v>10</v>
      </c>
      <c r="C9" s="2"/>
      <c r="D9" s="2"/>
      <c r="E9" s="2"/>
      <c r="F9" s="2"/>
      <c r="G9" s="5"/>
    </row>
    <row r="10" spans="1:7" ht="13" x14ac:dyDescent="0.3">
      <c r="A10" s="1" t="s">
        <v>147</v>
      </c>
      <c r="B10" s="2" t="s">
        <v>74</v>
      </c>
      <c r="C10" s="2"/>
      <c r="D10" s="2"/>
      <c r="E10" s="2"/>
      <c r="F10" s="2"/>
      <c r="G10" s="5"/>
    </row>
    <row r="11" spans="1:7" ht="76.400000000000006" customHeight="1" x14ac:dyDescent="0.3">
      <c r="A11" s="1" t="s">
        <v>145</v>
      </c>
      <c r="B11" s="46" t="s">
        <v>143</v>
      </c>
      <c r="C11" s="2"/>
      <c r="D11" s="2"/>
      <c r="E11" s="2"/>
      <c r="F11" s="2"/>
      <c r="G11" s="5"/>
    </row>
    <row r="12" spans="1:7" ht="15.75" customHeight="1" x14ac:dyDescent="0.25">
      <c r="A12" s="2"/>
      <c r="B12" s="2"/>
      <c r="C12" s="2"/>
      <c r="D12" s="2"/>
      <c r="E12" s="2"/>
      <c r="F12" s="2"/>
      <c r="G12" s="5"/>
    </row>
    <row r="13" spans="1:7" ht="15.75" customHeight="1" x14ac:dyDescent="0.3">
      <c r="A13" s="24" t="s">
        <v>11</v>
      </c>
      <c r="B13" s="24" t="s">
        <v>6</v>
      </c>
      <c r="C13" s="24" t="s">
        <v>12</v>
      </c>
      <c r="D13" s="24" t="s">
        <v>13</v>
      </c>
      <c r="E13" s="24" t="s">
        <v>14</v>
      </c>
      <c r="F13" s="24" t="s">
        <v>15</v>
      </c>
      <c r="G13" s="24" t="s">
        <v>16</v>
      </c>
    </row>
    <row r="14" spans="1:7" ht="30.65" customHeight="1" x14ac:dyDescent="0.25">
      <c r="A14" s="22" t="s">
        <v>71</v>
      </c>
      <c r="B14" s="12" t="s">
        <v>17</v>
      </c>
      <c r="C14" s="23" t="s">
        <v>52</v>
      </c>
      <c r="D14" s="23" t="s">
        <v>42</v>
      </c>
      <c r="E14" s="32" t="str" cm="1">
        <f t="array" aca="1" ref="E14" ca="1">ConcatNoStrike(mapping!A8:A66,",")</f>
        <v>cpovsdo:cell/1,cpovsdo:cell/2,cpovsdo:cell/3,cpovsdo:cell/4,cpovsdo:cell/5,cpovsdo:cell/7,cpovsdo:cell/8,cpovsdo:cell/9,cpovsdo:cell/10,cpovsdo:cell/11,cpovsdo:cell/12,cpovsdo:cell/13,cpovsdo:cell/14,cpovsdo:cell/15,cpovsdo:cell/16,cpovsdo:cell/18,cpovsdo:cell/21,cpovsdo:cell/22,cpovsdo:cell/23,cpovsdo:cell/24,cpovsdo:cell/25,cpovsdo:cell/26,cpovsdo:cell/27,cpovsdo:cell/30,cpovsdo:cell/31,cpovsdo:cell/33,cpovsdo:cell/35,cpovsdo:cell/36,cpovsdo:cell/37,cpovsdo:cell/38,cpovsdo:cell/39,cpovsdo:cell/40,cpovsdo:cell/41,cpovsdo:cell/42,cpovsdo:cell/43,cpovsdo:cell/44,cpovsdo:cell/45,cpovsdo:cell/46,cpovsdo:cell/47,cpovsdo:cell/48,cpovsdo:cell/49,cpovsdo:cell/50,cpovsdo:cell/51,cpovsdo:cell/52,cpovsdo:cell/54,cpovsdo:cell/58,cpovsdo:cell/59,</v>
      </c>
      <c r="F14" s="40" t="s">
        <v>156</v>
      </c>
      <c r="G14" s="41" t="s">
        <v>157</v>
      </c>
    </row>
  </sheetData>
  <mergeCells count="1">
    <mergeCell ref="B8:C8"/>
  </mergeCells>
  <hyperlinks>
    <hyperlink ref="C2" r:id="rId1" xr:uid="{00000000-0004-0000-0000-000001000000}"/>
    <hyperlink ref="C3" r:id="rId2" xr:uid="{00000000-0004-0000-0000-000002000000}"/>
    <hyperlink ref="B8" r:id="rId3" xr:uid="{00000000-0004-0000-0000-000004000000}"/>
    <hyperlink ref="B9"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9"/>
  <sheetViews>
    <sheetView tabSelected="1" topLeftCell="C11" workbookViewId="0">
      <selection activeCell="C47" sqref="C47"/>
    </sheetView>
  </sheetViews>
  <sheetFormatPr defaultColWidth="12.54296875" defaultRowHeight="15.75" customHeight="1" x14ac:dyDescent="0.25"/>
  <cols>
    <col min="1" max="1" width="13.81640625" bestFit="1" customWidth="1"/>
    <col min="2" max="2" width="10.453125" customWidth="1"/>
    <col min="3" max="3" width="52.81640625" bestFit="1" customWidth="1"/>
    <col min="4" max="4" width="34.453125" bestFit="1" customWidth="1"/>
    <col min="5" max="5" width="12.54296875" style="20"/>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2" t="s">
        <v>71</v>
      </c>
      <c r="C1" s="15"/>
      <c r="D1" s="9"/>
      <c r="E1" s="27"/>
      <c r="F1" s="3"/>
      <c r="G1" s="9"/>
      <c r="H1" s="15"/>
      <c r="I1" s="42"/>
      <c r="J1" s="14"/>
    </row>
    <row r="2" spans="1:10" ht="13" x14ac:dyDescent="0.3">
      <c r="A2" s="10" t="s">
        <v>1</v>
      </c>
      <c r="B2" s="11" t="s">
        <v>2</v>
      </c>
      <c r="C2" s="29" t="s">
        <v>3</v>
      </c>
      <c r="D2" s="11"/>
      <c r="E2" s="27"/>
      <c r="F2" s="5"/>
      <c r="G2" s="11"/>
      <c r="H2" s="15"/>
      <c r="I2" s="42"/>
      <c r="J2" s="14"/>
    </row>
    <row r="3" spans="1:10" ht="13" x14ac:dyDescent="0.3">
      <c r="A3" s="1" t="s">
        <v>1</v>
      </c>
      <c r="B3" s="28" t="s">
        <v>72</v>
      </c>
      <c r="C3" s="15" t="s">
        <v>73</v>
      </c>
      <c r="D3" s="63"/>
      <c r="E3" s="27"/>
      <c r="F3" s="5"/>
      <c r="G3" s="11"/>
      <c r="H3" s="15"/>
      <c r="I3" s="42"/>
      <c r="J3" s="14"/>
    </row>
    <row r="4" spans="1:10" ht="13" x14ac:dyDescent="0.3">
      <c r="A4" s="10" t="s">
        <v>1</v>
      </c>
      <c r="B4" s="11" t="s">
        <v>4</v>
      </c>
      <c r="C4" s="45" t="s">
        <v>5</v>
      </c>
      <c r="D4" s="15"/>
      <c r="E4" s="27"/>
      <c r="F4" s="5"/>
      <c r="G4" s="11"/>
      <c r="H4" s="15"/>
      <c r="I4" s="42"/>
      <c r="J4" s="14"/>
    </row>
    <row r="5" spans="1:10" ht="15.75" customHeight="1" x14ac:dyDescent="0.3">
      <c r="A5" s="50" t="s">
        <v>1</v>
      </c>
      <c r="B5" s="51" t="s">
        <v>54</v>
      </c>
      <c r="C5" s="52" t="s">
        <v>55</v>
      </c>
      <c r="D5" s="51"/>
      <c r="E5" s="27"/>
      <c r="F5" s="5"/>
      <c r="G5" s="11"/>
      <c r="H5" s="15"/>
      <c r="I5" s="42"/>
      <c r="J5" s="14"/>
    </row>
    <row r="6" spans="1:10" ht="15.75" customHeight="1" x14ac:dyDescent="0.25">
      <c r="A6" s="15"/>
      <c r="B6" s="15"/>
      <c r="C6" s="15"/>
      <c r="D6" s="15"/>
      <c r="E6" s="49"/>
      <c r="F6" s="5"/>
      <c r="G6" s="11"/>
      <c r="H6" s="15"/>
      <c r="I6" s="42"/>
      <c r="J6" s="14"/>
    </row>
    <row r="7" spans="1:10" ht="15.75" customHeight="1" x14ac:dyDescent="0.3">
      <c r="A7" s="56" t="s">
        <v>11</v>
      </c>
      <c r="B7" s="56" t="s">
        <v>6</v>
      </c>
      <c r="C7" s="56" t="s">
        <v>18</v>
      </c>
      <c r="D7" s="56" t="s">
        <v>19</v>
      </c>
      <c r="E7" s="25" t="s">
        <v>20</v>
      </c>
      <c r="F7" s="26" t="s">
        <v>21</v>
      </c>
      <c r="G7" s="47" t="s">
        <v>57</v>
      </c>
      <c r="H7" s="39" t="s">
        <v>53</v>
      </c>
      <c r="I7" s="43" t="s">
        <v>145</v>
      </c>
      <c r="J7" s="39" t="s">
        <v>146</v>
      </c>
    </row>
    <row r="8" spans="1:10" ht="15.75" customHeight="1" x14ac:dyDescent="0.35">
      <c r="A8" s="17" t="str">
        <f>CONCATENATE("cpovsdo:","cell/",ROWS(A$8:A8))</f>
        <v>cpovsdo:cell/1</v>
      </c>
      <c r="B8" s="53" t="s">
        <v>22</v>
      </c>
      <c r="C8" s="54" t="s">
        <v>25</v>
      </c>
      <c r="D8" s="55" t="s">
        <v>43</v>
      </c>
      <c r="E8" s="33" t="s">
        <v>23</v>
      </c>
      <c r="F8" s="21">
        <v>1</v>
      </c>
      <c r="G8" s="11" t="s">
        <v>24</v>
      </c>
      <c r="H8" s="15" t="s">
        <v>56</v>
      </c>
      <c r="I8" s="42"/>
      <c r="J8" s="14"/>
    </row>
    <row r="9" spans="1:10" ht="15.75" customHeight="1" x14ac:dyDescent="0.35">
      <c r="A9" s="17" t="str">
        <f>CONCATENATE("cpovsdo:","cell/",ROWS(A$8:A9))</f>
        <v>cpovsdo:cell/2</v>
      </c>
      <c r="B9" s="30" t="s">
        <v>22</v>
      </c>
      <c r="C9" s="31" t="s">
        <v>26</v>
      </c>
      <c r="D9" s="18" t="s">
        <v>49</v>
      </c>
      <c r="E9" s="19" t="s">
        <v>37</v>
      </c>
      <c r="F9" s="21">
        <v>1</v>
      </c>
      <c r="G9" s="35" t="s">
        <v>38</v>
      </c>
      <c r="H9" s="15" t="s">
        <v>56</v>
      </c>
      <c r="I9" s="44" t="s">
        <v>125</v>
      </c>
      <c r="J9" s="14"/>
    </row>
    <row r="10" spans="1:10" ht="15.75" customHeight="1" x14ac:dyDescent="0.35">
      <c r="A10" s="17" t="str">
        <f>CONCATENATE("cpovsdo:","cell/",ROWS(A$8:A10))</f>
        <v>cpovsdo:cell/3</v>
      </c>
      <c r="B10" s="15" t="s">
        <v>22</v>
      </c>
      <c r="C10" s="16" t="s">
        <v>27</v>
      </c>
      <c r="D10" s="18" t="s">
        <v>44</v>
      </c>
      <c r="E10" s="19" t="s">
        <v>37</v>
      </c>
      <c r="F10" s="21">
        <v>1</v>
      </c>
      <c r="G10" s="35" t="s">
        <v>38</v>
      </c>
      <c r="H10" s="15" t="s">
        <v>56</v>
      </c>
      <c r="I10" s="42"/>
      <c r="J10" s="38" t="s">
        <v>67</v>
      </c>
    </row>
    <row r="11" spans="1:10" ht="15.75" customHeight="1" x14ac:dyDescent="0.35">
      <c r="A11" s="17" t="str">
        <f>CONCATENATE("cpovsdo:","cell/",ROWS(A$8:A11))</f>
        <v>cpovsdo:cell/4</v>
      </c>
      <c r="B11" s="15" t="s">
        <v>22</v>
      </c>
      <c r="C11" s="16" t="s">
        <v>28</v>
      </c>
      <c r="D11" s="18" t="s">
        <v>45</v>
      </c>
      <c r="E11" s="19" t="s">
        <v>37</v>
      </c>
      <c r="F11" s="21">
        <v>0.7</v>
      </c>
      <c r="G11" s="35" t="s">
        <v>38</v>
      </c>
      <c r="H11" s="15" t="s">
        <v>56</v>
      </c>
      <c r="I11" s="42"/>
      <c r="J11" s="38" t="s">
        <v>67</v>
      </c>
    </row>
    <row r="12" spans="1:10" ht="15.75" customHeight="1" x14ac:dyDescent="0.35">
      <c r="A12" s="17" t="str">
        <f>CONCATENATE("cpovsdo:","cell/",ROWS(A$8:A12))</f>
        <v>cpovsdo:cell/5</v>
      </c>
      <c r="B12" s="15" t="s">
        <v>22</v>
      </c>
      <c r="C12" s="16" t="s">
        <v>29</v>
      </c>
      <c r="D12" s="18" t="s">
        <v>46</v>
      </c>
      <c r="E12" s="19" t="s">
        <v>23</v>
      </c>
      <c r="F12" s="21">
        <v>1</v>
      </c>
      <c r="G12" s="36" t="s">
        <v>39</v>
      </c>
      <c r="H12" s="15" t="s">
        <v>56</v>
      </c>
      <c r="I12" s="42"/>
      <c r="J12" s="14"/>
    </row>
    <row r="13" spans="1:10" ht="15.75" customHeight="1" x14ac:dyDescent="0.35">
      <c r="A13" s="62" t="str">
        <f>CONCATENATE("cpovsdo:","cell/",ROWS(A$8:A13))</f>
        <v>cpovsdo:cell/6</v>
      </c>
      <c r="B13" s="15" t="s">
        <v>22</v>
      </c>
      <c r="C13" s="16" t="s">
        <v>30</v>
      </c>
      <c r="D13" s="18"/>
      <c r="E13" s="19"/>
      <c r="F13" s="21"/>
      <c r="G13" s="35"/>
      <c r="H13" s="15" t="s">
        <v>56</v>
      </c>
      <c r="I13" s="48"/>
      <c r="J13" s="14"/>
    </row>
    <row r="14" spans="1:10" ht="15.75" customHeight="1" x14ac:dyDescent="0.35">
      <c r="A14" s="17" t="str">
        <f>CONCATENATE("cpovsdo:","cell/",ROWS(A$8:A14))</f>
        <v>cpovsdo:cell/7</v>
      </c>
      <c r="B14" s="15" t="s">
        <v>22</v>
      </c>
      <c r="C14" s="16" t="s">
        <v>31</v>
      </c>
      <c r="D14" s="18" t="s">
        <v>47</v>
      </c>
      <c r="E14" s="19" t="s">
        <v>37</v>
      </c>
      <c r="F14" s="13">
        <v>1</v>
      </c>
      <c r="G14" s="35" t="s">
        <v>38</v>
      </c>
      <c r="H14" s="15" t="s">
        <v>56</v>
      </c>
      <c r="I14" s="42"/>
      <c r="J14" s="14"/>
    </row>
    <row r="15" spans="1:10" ht="15.75" customHeight="1" x14ac:dyDescent="0.35">
      <c r="A15" s="17" t="str">
        <f>CONCATENATE("cpovsdo:","cell/",ROWS(A$8:A15))</f>
        <v>cpovsdo:cell/8</v>
      </c>
      <c r="B15" s="15" t="s">
        <v>22</v>
      </c>
      <c r="C15" s="16" t="s">
        <v>32</v>
      </c>
      <c r="D15" s="18" t="s">
        <v>50</v>
      </c>
      <c r="E15" s="19" t="s">
        <v>37</v>
      </c>
      <c r="F15" s="13">
        <v>0.7</v>
      </c>
      <c r="G15" s="35" t="s">
        <v>38</v>
      </c>
      <c r="H15" s="15" t="s">
        <v>56</v>
      </c>
      <c r="I15" s="44" t="s">
        <v>68</v>
      </c>
      <c r="J15" s="38" t="s">
        <v>67</v>
      </c>
    </row>
    <row r="16" spans="1:10" ht="15.75" customHeight="1" x14ac:dyDescent="0.35">
      <c r="A16" s="17" t="str">
        <f>CONCATENATE("cpovsdo:","cell/",ROWS(A$8:A16))</f>
        <v>cpovsdo:cell/9</v>
      </c>
      <c r="B16" s="15" t="s">
        <v>22</v>
      </c>
      <c r="C16" s="16" t="s">
        <v>33</v>
      </c>
      <c r="D16" s="18" t="s">
        <v>48</v>
      </c>
      <c r="E16" s="19" t="s">
        <v>23</v>
      </c>
      <c r="F16" s="13">
        <v>1</v>
      </c>
      <c r="G16" s="36" t="s">
        <v>39</v>
      </c>
      <c r="H16" s="15" t="s">
        <v>56</v>
      </c>
      <c r="I16" s="42"/>
      <c r="J16" s="14"/>
    </row>
    <row r="17" spans="1:10" ht="15.75" customHeight="1" x14ac:dyDescent="0.35">
      <c r="A17" s="17" t="str">
        <f>CONCATENATE("cpovsdo:","cell/",ROWS(A$8:A17))</f>
        <v>cpovsdo:cell/10</v>
      </c>
      <c r="B17" s="15" t="s">
        <v>22</v>
      </c>
      <c r="C17" s="16" t="s">
        <v>34</v>
      </c>
      <c r="D17" s="18" t="s">
        <v>40</v>
      </c>
      <c r="E17" s="19" t="s">
        <v>23</v>
      </c>
      <c r="F17" s="13">
        <v>1</v>
      </c>
      <c r="G17" s="36" t="s">
        <v>39</v>
      </c>
      <c r="H17" s="15" t="s">
        <v>56</v>
      </c>
      <c r="I17" s="42"/>
      <c r="J17" s="14"/>
    </row>
    <row r="18" spans="1:10" ht="15.75" customHeight="1" x14ac:dyDescent="0.35">
      <c r="A18" s="17" t="str">
        <f>CONCATENATE("cpovsdo:","cell/",ROWS(A$8:A18))</f>
        <v>cpovsdo:cell/11</v>
      </c>
      <c r="B18" s="15" t="s">
        <v>22</v>
      </c>
      <c r="C18" s="16" t="s">
        <v>35</v>
      </c>
      <c r="D18" s="18" t="s">
        <v>49</v>
      </c>
      <c r="E18" s="19" t="s">
        <v>23</v>
      </c>
      <c r="F18" s="13">
        <v>1</v>
      </c>
      <c r="G18" s="36" t="s">
        <v>39</v>
      </c>
      <c r="H18" s="15" t="s">
        <v>56</v>
      </c>
      <c r="I18" s="42"/>
      <c r="J18" s="14"/>
    </row>
    <row r="19" spans="1:10" ht="15.75" customHeight="1" x14ac:dyDescent="0.35">
      <c r="A19" s="17" t="str">
        <f>CONCATENATE("cpovsdo:","cell/",ROWS(A$8:A19))</f>
        <v>cpovsdo:cell/12</v>
      </c>
      <c r="B19" s="15" t="s">
        <v>22</v>
      </c>
      <c r="C19" s="16" t="s">
        <v>36</v>
      </c>
      <c r="D19" s="18" t="s">
        <v>47</v>
      </c>
      <c r="E19" s="19" t="s">
        <v>37</v>
      </c>
      <c r="F19" s="13">
        <v>1</v>
      </c>
      <c r="G19" s="36" t="s">
        <v>38</v>
      </c>
      <c r="H19" s="15" t="s">
        <v>56</v>
      </c>
      <c r="I19" s="42"/>
      <c r="J19" s="14"/>
    </row>
    <row r="20" spans="1:10" ht="15.75" customHeight="1" x14ac:dyDescent="0.35">
      <c r="A20" s="17" t="str">
        <f>CONCATENATE("cpovsdo:","cell/",ROWS(A$8:A20))</f>
        <v>cpovsdo:cell/13</v>
      </c>
      <c r="B20" s="15" t="s">
        <v>22</v>
      </c>
      <c r="C20" s="31" t="s">
        <v>70</v>
      </c>
      <c r="D20" s="57" t="s">
        <v>112</v>
      </c>
      <c r="E20" s="34" t="s">
        <v>37</v>
      </c>
      <c r="F20" s="21">
        <v>1</v>
      </c>
      <c r="G20" s="35" t="s">
        <v>66</v>
      </c>
      <c r="H20" s="15" t="s">
        <v>56</v>
      </c>
      <c r="I20" s="42"/>
      <c r="J20" s="14"/>
    </row>
    <row r="21" spans="1:10" ht="15.75" customHeight="1" x14ac:dyDescent="0.35">
      <c r="A21" s="17" t="str">
        <f>CONCATENATE("cpovsdo:","cell/",ROWS(A$8:A21))</f>
        <v>cpovsdo:cell/14</v>
      </c>
      <c r="B21" s="15" t="s">
        <v>22</v>
      </c>
      <c r="C21" s="31" t="s">
        <v>75</v>
      </c>
      <c r="D21" s="38" t="s">
        <v>113</v>
      </c>
      <c r="E21" s="34" t="s">
        <v>37</v>
      </c>
      <c r="F21" s="21">
        <v>1</v>
      </c>
      <c r="G21" s="35" t="s">
        <v>66</v>
      </c>
      <c r="H21" s="15" t="s">
        <v>56</v>
      </c>
      <c r="I21" s="42"/>
      <c r="J21" s="14"/>
    </row>
    <row r="22" spans="1:10" ht="15.75" customHeight="1" x14ac:dyDescent="0.35">
      <c r="A22" s="17" t="str">
        <f>CONCATENATE("cpovsdo:","cell/",ROWS(A$8:A22))</f>
        <v>cpovsdo:cell/15</v>
      </c>
      <c r="B22" s="15" t="s">
        <v>22</v>
      </c>
      <c r="C22" s="31" t="s">
        <v>76</v>
      </c>
      <c r="D22" s="38" t="s">
        <v>114</v>
      </c>
      <c r="E22" s="19" t="s">
        <v>37</v>
      </c>
      <c r="F22" s="13">
        <v>1</v>
      </c>
      <c r="G22" s="36" t="s">
        <v>38</v>
      </c>
      <c r="H22" s="15" t="s">
        <v>56</v>
      </c>
      <c r="I22" s="44" t="s">
        <v>126</v>
      </c>
      <c r="J22" s="14"/>
    </row>
    <row r="23" spans="1:10" ht="15.75" customHeight="1" x14ac:dyDescent="0.35">
      <c r="A23" s="17" t="str">
        <f>CONCATENATE("cpovsdo:","cell/",ROWS(A$8:A23))</f>
        <v>cpovsdo:cell/16</v>
      </c>
      <c r="B23" s="15" t="s">
        <v>22</v>
      </c>
      <c r="C23" s="31" t="s">
        <v>77</v>
      </c>
      <c r="D23" s="38" t="s">
        <v>117</v>
      </c>
      <c r="E23" s="19" t="s">
        <v>37</v>
      </c>
      <c r="F23" s="13">
        <v>1</v>
      </c>
      <c r="G23" s="36" t="s">
        <v>38</v>
      </c>
      <c r="H23" s="15" t="s">
        <v>56</v>
      </c>
      <c r="I23" s="42"/>
      <c r="J23" s="38" t="s">
        <v>67</v>
      </c>
    </row>
    <row r="24" spans="1:10" ht="15.75" customHeight="1" x14ac:dyDescent="0.35">
      <c r="A24" s="62" t="str">
        <f>CONCATENATE("cpovsdo:","cell/",ROWS(A$8:A24))</f>
        <v>cpovsdo:cell/17</v>
      </c>
      <c r="B24" s="15" t="s">
        <v>22</v>
      </c>
      <c r="C24" s="31" t="s">
        <v>153</v>
      </c>
      <c r="D24" s="38"/>
      <c r="E24" s="37"/>
      <c r="F24" s="21"/>
      <c r="G24" s="14"/>
      <c r="H24" s="15" t="s">
        <v>56</v>
      </c>
      <c r="I24" s="42"/>
      <c r="J24" s="14"/>
    </row>
    <row r="25" spans="1:10" ht="15.75" customHeight="1" x14ac:dyDescent="0.35">
      <c r="A25" s="17" t="str">
        <f>CONCATENATE("cpovsdo:","cell/",ROWS(A$8:A25))</f>
        <v>cpovsdo:cell/18</v>
      </c>
      <c r="B25" s="15" t="s">
        <v>22</v>
      </c>
      <c r="C25" s="31" t="s">
        <v>154</v>
      </c>
      <c r="D25" s="38" t="s">
        <v>44</v>
      </c>
      <c r="E25" s="19" t="s">
        <v>37</v>
      </c>
      <c r="F25" s="21">
        <v>1</v>
      </c>
      <c r="G25" s="38" t="s">
        <v>38</v>
      </c>
      <c r="H25" s="15" t="s">
        <v>56</v>
      </c>
      <c r="I25" s="44" t="s">
        <v>155</v>
      </c>
      <c r="J25" s="38" t="s">
        <v>67</v>
      </c>
    </row>
    <row r="26" spans="1:10" ht="15.75" customHeight="1" x14ac:dyDescent="0.35">
      <c r="A26" s="62" t="str">
        <f>CONCATENATE("cpovsdo:","cell/",ROWS(A$8:A26))</f>
        <v>cpovsdo:cell/19</v>
      </c>
      <c r="B26" s="15" t="s">
        <v>22</v>
      </c>
      <c r="C26" s="31" t="s">
        <v>78</v>
      </c>
      <c r="D26" s="38"/>
      <c r="E26" s="37"/>
      <c r="F26" s="21"/>
      <c r="G26" s="14"/>
      <c r="H26" s="15" t="s">
        <v>56</v>
      </c>
      <c r="I26" s="42"/>
      <c r="J26" s="14"/>
    </row>
    <row r="27" spans="1:10" ht="15.75" customHeight="1" x14ac:dyDescent="0.35">
      <c r="A27" s="62" t="str">
        <f>CONCATENATE("cpovsdo:","cell/",ROWS(A$8:A27))</f>
        <v>cpovsdo:cell/20</v>
      </c>
      <c r="B27" s="15" t="s">
        <v>22</v>
      </c>
      <c r="C27" s="31" t="s">
        <v>79</v>
      </c>
      <c r="D27" s="38"/>
      <c r="E27" s="37"/>
      <c r="F27" s="21"/>
      <c r="G27" s="14"/>
      <c r="H27" s="15" t="s">
        <v>56</v>
      </c>
      <c r="I27" s="42"/>
      <c r="J27" s="14"/>
    </row>
    <row r="28" spans="1:10" ht="15.75" customHeight="1" x14ac:dyDescent="0.35">
      <c r="A28" s="17" t="str">
        <f>CONCATENATE("cpovsdo:","cell/",ROWS(A$8:A28))</f>
        <v>cpovsdo:cell/21</v>
      </c>
      <c r="B28" s="15" t="s">
        <v>22</v>
      </c>
      <c r="C28" s="31" t="s">
        <v>80</v>
      </c>
      <c r="D28" s="38" t="s">
        <v>127</v>
      </c>
      <c r="E28" s="19" t="s">
        <v>37</v>
      </c>
      <c r="F28" s="13">
        <v>1</v>
      </c>
      <c r="G28" s="36" t="s">
        <v>38</v>
      </c>
      <c r="H28" s="15" t="s">
        <v>56</v>
      </c>
      <c r="I28" s="42"/>
      <c r="J28" s="38" t="s">
        <v>67</v>
      </c>
    </row>
    <row r="29" spans="1:10" ht="15.75" customHeight="1" x14ac:dyDescent="0.35">
      <c r="A29" s="17" t="str">
        <f>CONCATENATE("cpovsdo:","cell/",ROWS(A$8:A29))</f>
        <v>cpovsdo:cell/22</v>
      </c>
      <c r="B29" s="15" t="s">
        <v>22</v>
      </c>
      <c r="C29" t="s">
        <v>81</v>
      </c>
      <c r="D29" s="18" t="s">
        <v>115</v>
      </c>
      <c r="E29" s="19" t="s">
        <v>23</v>
      </c>
      <c r="F29" s="21">
        <v>1</v>
      </c>
      <c r="G29" s="11" t="s">
        <v>24</v>
      </c>
      <c r="H29" s="15" t="s">
        <v>56</v>
      </c>
      <c r="I29" s="42"/>
      <c r="J29" s="14"/>
    </row>
    <row r="30" spans="1:10" ht="15.75" customHeight="1" x14ac:dyDescent="0.35">
      <c r="A30" s="17" t="str">
        <f>CONCATENATE("cpovsdo:","cell/",ROWS(A$8:A30))</f>
        <v>cpovsdo:cell/23</v>
      </c>
      <c r="B30" s="15" t="s">
        <v>22</v>
      </c>
      <c r="C30" s="14" t="s">
        <v>82</v>
      </c>
      <c r="D30" s="14" t="s">
        <v>118</v>
      </c>
      <c r="E30" s="37" t="s">
        <v>23</v>
      </c>
      <c r="F30" s="13">
        <v>1</v>
      </c>
      <c r="G30" s="36" t="s">
        <v>39</v>
      </c>
      <c r="H30" s="15" t="s">
        <v>56</v>
      </c>
      <c r="I30" s="42"/>
      <c r="J30" s="14"/>
    </row>
    <row r="31" spans="1:10" ht="15.75" customHeight="1" x14ac:dyDescent="0.35">
      <c r="A31" s="17" t="str">
        <f>CONCATENATE("cpovsdo:","cell/",ROWS(A$8:A31))</f>
        <v>cpovsdo:cell/24</v>
      </c>
      <c r="B31" s="15" t="s">
        <v>22</v>
      </c>
      <c r="C31" s="14" t="s">
        <v>83</v>
      </c>
      <c r="D31" s="38" t="s">
        <v>140</v>
      </c>
      <c r="E31" s="19" t="s">
        <v>37</v>
      </c>
      <c r="F31" s="21">
        <v>1</v>
      </c>
      <c r="G31" s="38" t="s">
        <v>38</v>
      </c>
      <c r="H31" s="15" t="s">
        <v>56</v>
      </c>
      <c r="I31" s="42"/>
      <c r="J31" s="14"/>
    </row>
    <row r="32" spans="1:10" ht="15.75" customHeight="1" x14ac:dyDescent="0.35">
      <c r="A32" s="17" t="str">
        <f>CONCATENATE("cpovsdo:","cell/",ROWS(A$8:A32))</f>
        <v>cpovsdo:cell/25</v>
      </c>
      <c r="B32" s="15" t="s">
        <v>22</v>
      </c>
      <c r="C32" s="14" t="s">
        <v>84</v>
      </c>
      <c r="D32" s="38" t="s">
        <v>119</v>
      </c>
      <c r="E32" s="37" t="s">
        <v>23</v>
      </c>
      <c r="F32" s="13">
        <v>1</v>
      </c>
      <c r="G32" s="36" t="s">
        <v>39</v>
      </c>
      <c r="H32" s="15" t="s">
        <v>56</v>
      </c>
      <c r="I32" s="42"/>
      <c r="J32" s="14"/>
    </row>
    <row r="33" spans="1:10" ht="15.75" customHeight="1" x14ac:dyDescent="0.35">
      <c r="A33" s="17" t="str">
        <f>CONCATENATE("cpovsdo:","cell/",ROWS(A$8:A33))</f>
        <v>cpovsdo:cell/26</v>
      </c>
      <c r="B33" s="15" t="s">
        <v>22</v>
      </c>
      <c r="C33" s="16" t="s">
        <v>85</v>
      </c>
      <c r="D33" s="60" t="s">
        <v>120</v>
      </c>
      <c r="E33" s="37" t="s">
        <v>23</v>
      </c>
      <c r="F33" s="13">
        <v>1</v>
      </c>
      <c r="G33" s="36" t="s">
        <v>39</v>
      </c>
      <c r="H33" s="15" t="s">
        <v>56</v>
      </c>
      <c r="I33" s="42"/>
      <c r="J33" s="14"/>
    </row>
    <row r="34" spans="1:10" ht="15.75" customHeight="1" x14ac:dyDescent="0.35">
      <c r="A34" s="17" t="str">
        <f>CONCATENATE("cpovsdo:","cell/",ROWS(A$8:A34))</f>
        <v>cpovsdo:cell/27</v>
      </c>
      <c r="B34" s="15" t="s">
        <v>22</v>
      </c>
      <c r="C34" s="31" t="s">
        <v>86</v>
      </c>
      <c r="D34" s="18" t="s">
        <v>121</v>
      </c>
      <c r="E34" s="37" t="s">
        <v>23</v>
      </c>
      <c r="F34" s="13">
        <v>1</v>
      </c>
      <c r="G34" s="36" t="s">
        <v>39</v>
      </c>
      <c r="H34" s="15" t="s">
        <v>56</v>
      </c>
      <c r="I34" s="42"/>
      <c r="J34" s="14"/>
    </row>
    <row r="35" spans="1:10" ht="15.75" customHeight="1" x14ac:dyDescent="0.35">
      <c r="A35" s="62" t="str">
        <f>CONCATENATE("cpovsdo:","cell/",ROWS(A$8:A35))</f>
        <v>cpovsdo:cell/28</v>
      </c>
      <c r="B35" s="15" t="s">
        <v>22</v>
      </c>
      <c r="C35" s="31" t="s">
        <v>87</v>
      </c>
      <c r="D35" s="38"/>
      <c r="E35" s="37"/>
      <c r="F35" s="21"/>
      <c r="G35" s="14"/>
      <c r="H35" s="15" t="s">
        <v>56</v>
      </c>
      <c r="I35" s="42"/>
      <c r="J35" s="14"/>
    </row>
    <row r="36" spans="1:10" ht="15.75" customHeight="1" x14ac:dyDescent="0.35">
      <c r="A36" s="62" t="str">
        <f>CONCATENATE("cpovsdo:","cell/",ROWS(A$8:A36))</f>
        <v>cpovsdo:cell/29</v>
      </c>
      <c r="B36" s="15" t="s">
        <v>22</v>
      </c>
      <c r="C36" s="31" t="s">
        <v>58</v>
      </c>
      <c r="D36" s="18"/>
      <c r="E36" s="37"/>
      <c r="F36" s="21"/>
      <c r="G36" s="15"/>
      <c r="H36" s="15" t="s">
        <v>56</v>
      </c>
      <c r="I36" s="42"/>
      <c r="J36" s="14"/>
    </row>
    <row r="37" spans="1:10" ht="15.75" customHeight="1" x14ac:dyDescent="0.35">
      <c r="A37" s="17" t="str">
        <f>CONCATENATE("cpovsdo:","cell/",ROWS(A$8:A37))</f>
        <v>cpovsdo:cell/30</v>
      </c>
      <c r="B37" s="15" t="s">
        <v>22</v>
      </c>
      <c r="C37" s="38" t="s">
        <v>59</v>
      </c>
      <c r="D37" s="38" t="s">
        <v>141</v>
      </c>
      <c r="E37" s="19" t="s">
        <v>37</v>
      </c>
      <c r="F37" s="13">
        <v>1</v>
      </c>
      <c r="G37" s="36" t="s">
        <v>38</v>
      </c>
      <c r="H37" s="15" t="s">
        <v>56</v>
      </c>
      <c r="I37" s="42" t="s">
        <v>142</v>
      </c>
      <c r="J37" s="14"/>
    </row>
    <row r="38" spans="1:10" ht="15.75" customHeight="1" x14ac:dyDescent="0.35">
      <c r="A38" s="17" t="str">
        <f>CONCATENATE("cpovsdo:","cell/",ROWS(A$8:A38))</f>
        <v>cpovsdo:cell/31</v>
      </c>
      <c r="B38" s="15" t="s">
        <v>22</v>
      </c>
      <c r="C38" s="14" t="s">
        <v>60</v>
      </c>
      <c r="D38" s="38" t="s">
        <v>69</v>
      </c>
      <c r="E38" s="19" t="s">
        <v>37</v>
      </c>
      <c r="F38" s="21">
        <v>1</v>
      </c>
      <c r="G38" s="38" t="s">
        <v>38</v>
      </c>
      <c r="H38" s="15" t="s">
        <v>56</v>
      </c>
      <c r="I38" s="44"/>
      <c r="J38" s="14"/>
    </row>
    <row r="39" spans="1:10" ht="15.75" customHeight="1" x14ac:dyDescent="0.35">
      <c r="A39" s="62" t="str">
        <f>CONCATENATE("cpovsdo:","cell/",ROWS(A$8:A39))</f>
        <v>cpovsdo:cell/32</v>
      </c>
      <c r="B39" s="15" t="s">
        <v>22</v>
      </c>
      <c r="C39" s="14" t="s">
        <v>61</v>
      </c>
      <c r="D39" s="14"/>
      <c r="E39" s="37"/>
      <c r="F39" s="14"/>
      <c r="G39" s="14"/>
      <c r="H39" s="15" t="s">
        <v>56</v>
      </c>
      <c r="I39" s="42"/>
      <c r="J39" s="14"/>
    </row>
    <row r="40" spans="1:10" ht="15.75" customHeight="1" x14ac:dyDescent="0.35">
      <c r="A40" s="17" t="str">
        <f>CONCATENATE("cpovsdo:","cell/",ROWS(A$8:A40))</f>
        <v>cpovsdo:cell/33</v>
      </c>
      <c r="B40" s="15" t="s">
        <v>22</v>
      </c>
      <c r="C40" s="14" t="s">
        <v>62</v>
      </c>
      <c r="D40" s="38" t="s">
        <v>69</v>
      </c>
      <c r="E40" s="19" t="s">
        <v>37</v>
      </c>
      <c r="F40" s="21">
        <v>1</v>
      </c>
      <c r="G40" s="38" t="s">
        <v>38</v>
      </c>
      <c r="H40" s="15" t="s">
        <v>56</v>
      </c>
      <c r="I40" s="42"/>
      <c r="J40" s="14"/>
    </row>
    <row r="41" spans="1:10" ht="15.75" customHeight="1" x14ac:dyDescent="0.35">
      <c r="A41" s="62" t="str">
        <f>CONCATENATE("cpovsdo:","cell/",ROWS(A$8:A41))</f>
        <v>cpovsdo:cell/34</v>
      </c>
      <c r="B41" s="15" t="s">
        <v>22</v>
      </c>
      <c r="C41" s="14" t="s">
        <v>63</v>
      </c>
      <c r="D41" s="38"/>
      <c r="E41" s="37"/>
      <c r="F41" s="14"/>
      <c r="G41" s="14"/>
      <c r="H41" s="15" t="s">
        <v>56</v>
      </c>
      <c r="I41" s="42"/>
      <c r="J41" s="14"/>
    </row>
    <row r="42" spans="1:10" ht="15.75" customHeight="1" x14ac:dyDescent="0.35">
      <c r="A42" s="17" t="str">
        <f>CONCATENATE("cpovsdo:","cell/",ROWS(A$8:A42))</f>
        <v>cpovsdo:cell/35</v>
      </c>
      <c r="B42" s="15" t="s">
        <v>22</v>
      </c>
      <c r="C42" s="38" t="s">
        <v>88</v>
      </c>
      <c r="D42" s="38" t="s">
        <v>116</v>
      </c>
      <c r="E42" s="33" t="s">
        <v>23</v>
      </c>
      <c r="F42" s="21">
        <v>1</v>
      </c>
      <c r="G42" s="11" t="s">
        <v>24</v>
      </c>
      <c r="H42" s="15" t="s">
        <v>56</v>
      </c>
      <c r="I42" s="42"/>
      <c r="J42" s="14"/>
    </row>
    <row r="43" spans="1:10" ht="15.75" customHeight="1" x14ac:dyDescent="0.35">
      <c r="A43" s="17" t="str">
        <f>CONCATENATE("cpovsdo:","cell/",ROWS(A$8:A43))</f>
        <v>cpovsdo:cell/36</v>
      </c>
      <c r="B43" s="15" t="s">
        <v>22</v>
      </c>
      <c r="C43" s="38" t="s">
        <v>89</v>
      </c>
      <c r="D43" s="38" t="s">
        <v>65</v>
      </c>
      <c r="E43" s="33" t="s">
        <v>23</v>
      </c>
      <c r="F43" s="21">
        <v>1</v>
      </c>
      <c r="G43" s="11" t="s">
        <v>24</v>
      </c>
      <c r="H43" s="15" t="s">
        <v>56</v>
      </c>
      <c r="I43" s="42"/>
      <c r="J43" s="14"/>
    </row>
    <row r="44" spans="1:10" ht="15.75" customHeight="1" x14ac:dyDescent="0.35">
      <c r="A44" s="17" t="str">
        <f>CONCATENATE("cpovsdo:","cell/",ROWS(A$8:A44))</f>
        <v>cpovsdo:cell/37</v>
      </c>
      <c r="B44" s="15" t="s">
        <v>22</v>
      </c>
      <c r="C44" s="38" t="s">
        <v>90</v>
      </c>
      <c r="D44" s="38" t="s">
        <v>65</v>
      </c>
      <c r="E44" s="33" t="s">
        <v>37</v>
      </c>
      <c r="F44" s="21">
        <v>1</v>
      </c>
      <c r="G44" s="35" t="s">
        <v>66</v>
      </c>
      <c r="H44" s="15" t="s">
        <v>56</v>
      </c>
      <c r="I44" s="42"/>
      <c r="J44" s="14"/>
    </row>
    <row r="45" spans="1:10" ht="15.75" customHeight="1" x14ac:dyDescent="0.35">
      <c r="A45" s="17" t="str">
        <f>CONCATENATE("cpovsdo:","cell/",ROWS(A$8:A45))</f>
        <v>cpovsdo:cell/38</v>
      </c>
      <c r="B45" s="15" t="s">
        <v>22</v>
      </c>
      <c r="C45" s="38" t="s">
        <v>91</v>
      </c>
      <c r="D45" s="38" t="s">
        <v>124</v>
      </c>
      <c r="E45" s="19" t="s">
        <v>37</v>
      </c>
      <c r="F45" s="13">
        <v>1</v>
      </c>
      <c r="G45" s="36" t="s">
        <v>38</v>
      </c>
      <c r="H45" s="15" t="s">
        <v>56</v>
      </c>
      <c r="I45" s="42"/>
      <c r="J45" s="14"/>
    </row>
    <row r="46" spans="1:10" ht="15.75" customHeight="1" x14ac:dyDescent="0.35">
      <c r="A46" s="17" t="str">
        <f>CONCATENATE("cpovsdo:","cell/",ROWS(A$8:A46))</f>
        <v>cpovsdo:cell/39</v>
      </c>
      <c r="B46" s="15" t="s">
        <v>22</v>
      </c>
      <c r="C46" s="38" t="s">
        <v>92</v>
      </c>
      <c r="D46" s="38" t="s">
        <v>65</v>
      </c>
      <c r="E46" s="37" t="s">
        <v>37</v>
      </c>
      <c r="F46" s="21">
        <v>1</v>
      </c>
      <c r="G46" s="14" t="s">
        <v>66</v>
      </c>
      <c r="H46" s="15" t="s">
        <v>56</v>
      </c>
      <c r="I46" s="42"/>
      <c r="J46" s="14"/>
    </row>
    <row r="47" spans="1:10" ht="15.75" customHeight="1" x14ac:dyDescent="0.35">
      <c r="A47" s="17" t="str">
        <f>CONCATENATE("cpovsdo:","cell/",ROWS(A$8:A47))</f>
        <v>cpovsdo:cell/40</v>
      </c>
      <c r="B47" s="15" t="s">
        <v>22</v>
      </c>
      <c r="C47" s="38" t="s">
        <v>93</v>
      </c>
      <c r="D47" s="38" t="s">
        <v>51</v>
      </c>
      <c r="E47" s="19" t="s">
        <v>37</v>
      </c>
      <c r="F47" s="13">
        <v>1</v>
      </c>
      <c r="G47" s="36" t="s">
        <v>38</v>
      </c>
      <c r="H47" s="15" t="s">
        <v>56</v>
      </c>
      <c r="I47" s="61" t="s">
        <v>138</v>
      </c>
      <c r="J47" s="38" t="s">
        <v>67</v>
      </c>
    </row>
    <row r="48" spans="1:10" ht="15.75" customHeight="1" x14ac:dyDescent="0.35">
      <c r="A48" s="17" t="str">
        <f>CONCATENATE("cpovsdo:","cell/",ROWS(A$8:A48))</f>
        <v>cpovsdo:cell/41</v>
      </c>
      <c r="B48" s="15" t="s">
        <v>22</v>
      </c>
      <c r="C48" s="38" t="s">
        <v>94</v>
      </c>
      <c r="D48" s="38" t="s">
        <v>64</v>
      </c>
      <c r="E48" s="19" t="s">
        <v>37</v>
      </c>
      <c r="F48" s="13">
        <v>1</v>
      </c>
      <c r="G48" s="36" t="s">
        <v>38</v>
      </c>
      <c r="H48" s="15" t="s">
        <v>56</v>
      </c>
      <c r="I48" s="61" t="s">
        <v>137</v>
      </c>
      <c r="J48" s="14"/>
    </row>
    <row r="49" spans="1:10" ht="15.75" customHeight="1" x14ac:dyDescent="0.35">
      <c r="A49" s="17" t="str">
        <f>CONCATENATE("cpovsdo:","cell/",ROWS(A$8:A49))</f>
        <v>cpovsdo:cell/42</v>
      </c>
      <c r="B49" s="15" t="s">
        <v>22</v>
      </c>
      <c r="C49" s="38" t="s">
        <v>95</v>
      </c>
      <c r="D49" s="38" t="s">
        <v>122</v>
      </c>
      <c r="E49" s="19" t="s">
        <v>37</v>
      </c>
      <c r="F49" s="13">
        <v>1</v>
      </c>
      <c r="G49" s="36" t="s">
        <v>38</v>
      </c>
      <c r="H49" s="15" t="s">
        <v>56</v>
      </c>
      <c r="I49" s="42"/>
      <c r="J49" s="14"/>
    </row>
    <row r="50" spans="1:10" ht="15.75" customHeight="1" x14ac:dyDescent="0.35">
      <c r="A50" s="17" t="str">
        <f>CONCATENATE("cpovsdo:","cell/",ROWS(A$8:A50))</f>
        <v>cpovsdo:cell/43</v>
      </c>
      <c r="B50" s="15" t="s">
        <v>22</v>
      </c>
      <c r="C50" s="38" t="s">
        <v>96</v>
      </c>
      <c r="D50" s="38" t="s">
        <v>148</v>
      </c>
      <c r="E50" s="37" t="s">
        <v>37</v>
      </c>
      <c r="F50" s="13">
        <v>1</v>
      </c>
      <c r="G50" s="36" t="s">
        <v>38</v>
      </c>
      <c r="H50" s="15" t="s">
        <v>56</v>
      </c>
      <c r="J50" s="44" t="s">
        <v>132</v>
      </c>
    </row>
    <row r="51" spans="1:10" ht="15.75" customHeight="1" x14ac:dyDescent="0.35">
      <c r="A51" s="17" t="str">
        <f>CONCATENATE("cpovsdo:","cell/",ROWS(A$8:A51))</f>
        <v>cpovsdo:cell/44</v>
      </c>
      <c r="B51" s="15" t="s">
        <v>22</v>
      </c>
      <c r="C51" s="38" t="s">
        <v>97</v>
      </c>
      <c r="D51" s="38" t="s">
        <v>123</v>
      </c>
      <c r="E51" s="19" t="s">
        <v>23</v>
      </c>
      <c r="F51" s="21">
        <v>1</v>
      </c>
      <c r="G51" s="59" t="s">
        <v>39</v>
      </c>
      <c r="H51" s="15" t="s">
        <v>56</v>
      </c>
      <c r="I51" s="42"/>
      <c r="J51" s="14"/>
    </row>
    <row r="52" spans="1:10" ht="15.75" customHeight="1" x14ac:dyDescent="0.35">
      <c r="A52" s="17" t="str">
        <f>CONCATENATE("cpovsdo:","cell/",ROWS(A$8:A52))</f>
        <v>cpovsdo:cell/45</v>
      </c>
      <c r="B52" s="15" t="s">
        <v>22</v>
      </c>
      <c r="C52" s="38" t="s">
        <v>76</v>
      </c>
      <c r="D52" s="57" t="s">
        <v>114</v>
      </c>
      <c r="E52" s="19" t="s">
        <v>37</v>
      </c>
      <c r="F52" s="21">
        <v>1</v>
      </c>
      <c r="G52" s="38" t="s">
        <v>38</v>
      </c>
      <c r="H52" s="58" t="s">
        <v>56</v>
      </c>
      <c r="I52" s="61" t="s">
        <v>136</v>
      </c>
      <c r="J52" s="14"/>
    </row>
    <row r="53" spans="1:10" ht="15.75" customHeight="1" x14ac:dyDescent="0.35">
      <c r="A53" s="17" t="str">
        <f>CONCATENATE("cpovsdo:","cell/",ROWS(A$8:A53))</f>
        <v>cpovsdo:cell/46</v>
      </c>
      <c r="B53" s="15" t="s">
        <v>22</v>
      </c>
      <c r="C53" s="38" t="s">
        <v>98</v>
      </c>
      <c r="D53" s="14" t="s">
        <v>128</v>
      </c>
      <c r="E53" s="19" t="s">
        <v>37</v>
      </c>
      <c r="F53" s="21">
        <v>1</v>
      </c>
      <c r="G53" s="38" t="s">
        <v>38</v>
      </c>
      <c r="H53" s="58" t="s">
        <v>56</v>
      </c>
      <c r="I53" s="14" t="s">
        <v>129</v>
      </c>
      <c r="J53" s="14"/>
    </row>
    <row r="54" spans="1:10" ht="15.75" customHeight="1" x14ac:dyDescent="0.35">
      <c r="A54" s="17" t="str">
        <f>CONCATENATE("cpovsdo:","cell/",ROWS(A$8:A54))</f>
        <v>cpovsdo:cell/47</v>
      </c>
      <c r="B54" s="15" t="s">
        <v>22</v>
      </c>
      <c r="C54" s="38" t="s">
        <v>99</v>
      </c>
      <c r="D54" s="38" t="s">
        <v>130</v>
      </c>
      <c r="E54" s="19" t="s">
        <v>23</v>
      </c>
      <c r="F54" s="21">
        <v>1</v>
      </c>
      <c r="G54" s="59" t="s">
        <v>39</v>
      </c>
      <c r="H54" s="15" t="s">
        <v>56</v>
      </c>
      <c r="I54" s="14"/>
      <c r="J54" s="14"/>
    </row>
    <row r="55" spans="1:10" ht="15.75" customHeight="1" x14ac:dyDescent="0.35">
      <c r="A55" s="17" t="str">
        <f>CONCATENATE("cpovsdo:","cell/",ROWS(A$8:A55))</f>
        <v>cpovsdo:cell/48</v>
      </c>
      <c r="B55" s="15" t="s">
        <v>22</v>
      </c>
      <c r="C55" s="38" t="s">
        <v>100</v>
      </c>
      <c r="D55" s="60" t="s">
        <v>131</v>
      </c>
      <c r="E55" s="19" t="s">
        <v>37</v>
      </c>
      <c r="F55" s="21">
        <v>1</v>
      </c>
      <c r="G55" s="38" t="s">
        <v>38</v>
      </c>
      <c r="H55" s="15" t="s">
        <v>56</v>
      </c>
      <c r="I55" s="14" t="s">
        <v>129</v>
      </c>
      <c r="J55" s="14"/>
    </row>
    <row r="56" spans="1:10" ht="15.75" customHeight="1" x14ac:dyDescent="0.35">
      <c r="A56" s="17" t="str">
        <f>CONCATENATE("cpovsdo:","cell/",ROWS(A$8:A56))</f>
        <v>cpovsdo:cell/49</v>
      </c>
      <c r="B56" s="15" t="s">
        <v>22</v>
      </c>
      <c r="C56" s="38" t="s">
        <v>101</v>
      </c>
      <c r="D56" s="38" t="s">
        <v>140</v>
      </c>
      <c r="E56" s="19" t="s">
        <v>37</v>
      </c>
      <c r="F56" s="21">
        <v>1</v>
      </c>
      <c r="G56" s="38" t="s">
        <v>38</v>
      </c>
      <c r="H56" s="15" t="s">
        <v>56</v>
      </c>
      <c r="I56" s="14" t="s">
        <v>129</v>
      </c>
      <c r="J56" s="14"/>
    </row>
    <row r="57" spans="1:10" ht="15.75" customHeight="1" x14ac:dyDescent="0.35">
      <c r="A57" s="17" t="str">
        <f>CONCATENATE("cpovsdo:","cell/",ROWS(A$8:A57))</f>
        <v>cpovsdo:cell/50</v>
      </c>
      <c r="B57" s="15" t="s">
        <v>22</v>
      </c>
      <c r="C57" s="38" t="s">
        <v>102</v>
      </c>
      <c r="D57" s="38" t="s">
        <v>44</v>
      </c>
      <c r="E57" s="19" t="s">
        <v>37</v>
      </c>
      <c r="F57" s="21">
        <v>1</v>
      </c>
      <c r="G57" s="38" t="s">
        <v>38</v>
      </c>
      <c r="H57" s="15" t="s">
        <v>56</v>
      </c>
      <c r="I57" s="42"/>
      <c r="J57" s="38" t="s">
        <v>67</v>
      </c>
    </row>
    <row r="58" spans="1:10" ht="15.75" customHeight="1" x14ac:dyDescent="0.35">
      <c r="A58" s="17" t="str">
        <f>CONCATENATE("cpovsdo:","cell/",ROWS(A$8:A58))</f>
        <v>cpovsdo:cell/51</v>
      </c>
      <c r="B58" s="15" t="s">
        <v>22</v>
      </c>
      <c r="C58" s="38" t="s">
        <v>103</v>
      </c>
      <c r="D58" s="38" t="s">
        <v>133</v>
      </c>
      <c r="E58" s="19" t="s">
        <v>37</v>
      </c>
      <c r="F58" s="21">
        <v>1</v>
      </c>
      <c r="G58" s="38" t="s">
        <v>38</v>
      </c>
      <c r="H58" s="15" t="s">
        <v>56</v>
      </c>
      <c r="I58" s="14" t="s">
        <v>139</v>
      </c>
      <c r="J58" s="38" t="s">
        <v>67</v>
      </c>
    </row>
    <row r="59" spans="1:10" ht="15.75" customHeight="1" x14ac:dyDescent="0.35">
      <c r="A59" s="17" t="str">
        <f>CONCATENATE("cpovsdo:","cell/",ROWS(A$8:A59))</f>
        <v>cpovsdo:cell/52</v>
      </c>
      <c r="B59" s="15" t="s">
        <v>22</v>
      </c>
      <c r="C59" s="38" t="s">
        <v>104</v>
      </c>
      <c r="D59" s="38" t="s">
        <v>124</v>
      </c>
      <c r="E59" s="19" t="s">
        <v>37</v>
      </c>
      <c r="F59" s="21">
        <v>1</v>
      </c>
      <c r="G59" s="38" t="s">
        <v>38</v>
      </c>
      <c r="H59" s="15" t="s">
        <v>56</v>
      </c>
      <c r="I59" s="14" t="s">
        <v>129</v>
      </c>
      <c r="J59" s="14"/>
    </row>
    <row r="60" spans="1:10" ht="15.75" customHeight="1" x14ac:dyDescent="0.35">
      <c r="A60" s="62" t="str">
        <f>CONCATENATE("cpovsdo:","cell/",ROWS(A$8:A60))</f>
        <v>cpovsdo:cell/53</v>
      </c>
      <c r="B60" s="15" t="s">
        <v>22</v>
      </c>
      <c r="C60" s="38" t="s">
        <v>105</v>
      </c>
      <c r="D60" s="38"/>
      <c r="E60" s="37"/>
      <c r="F60" s="14"/>
      <c r="G60" s="14"/>
      <c r="H60" s="15" t="s">
        <v>56</v>
      </c>
      <c r="I60" s="42"/>
      <c r="J60" s="14"/>
    </row>
    <row r="61" spans="1:10" ht="15.75" customHeight="1" x14ac:dyDescent="0.35">
      <c r="A61" s="17" t="str">
        <f>CONCATENATE("cpovsdo:","cell/",ROWS(A$8:A61))</f>
        <v>cpovsdo:cell/54</v>
      </c>
      <c r="B61" s="15" t="s">
        <v>22</v>
      </c>
      <c r="C61" s="38" t="s">
        <v>106</v>
      </c>
      <c r="D61" s="38" t="s">
        <v>69</v>
      </c>
      <c r="E61" s="19" t="s">
        <v>37</v>
      </c>
      <c r="F61" s="21">
        <v>1</v>
      </c>
      <c r="G61" s="38" t="s">
        <v>38</v>
      </c>
      <c r="H61" s="15" t="s">
        <v>56</v>
      </c>
      <c r="I61" s="42"/>
      <c r="J61" s="14"/>
    </row>
    <row r="62" spans="1:10" ht="15.75" customHeight="1" x14ac:dyDescent="0.35">
      <c r="A62" s="62" t="str">
        <f>CONCATENATE("cpovsdo:","cell/",ROWS(A$8:A62))</f>
        <v>cpovsdo:cell/55</v>
      </c>
      <c r="B62" s="15" t="s">
        <v>22</v>
      </c>
      <c r="C62" s="38" t="s">
        <v>107</v>
      </c>
      <c r="D62" s="38"/>
      <c r="E62" s="37"/>
      <c r="F62" s="14"/>
      <c r="G62" s="14"/>
      <c r="H62" s="15" t="s">
        <v>56</v>
      </c>
      <c r="I62" s="42"/>
      <c r="J62" s="14"/>
    </row>
    <row r="63" spans="1:10" ht="15.75" customHeight="1" x14ac:dyDescent="0.35">
      <c r="A63" s="62" t="str">
        <f>CONCATENATE("cpovsdo:","cell/",ROWS(A$8:A63))</f>
        <v>cpovsdo:cell/56</v>
      </c>
      <c r="B63" s="15" t="s">
        <v>22</v>
      </c>
      <c r="C63" s="38" t="s">
        <v>108</v>
      </c>
      <c r="D63" s="38"/>
      <c r="E63" s="37"/>
      <c r="F63" s="14"/>
      <c r="G63" s="14"/>
      <c r="H63" s="15" t="s">
        <v>56</v>
      </c>
      <c r="I63" s="42"/>
      <c r="J63" s="14"/>
    </row>
    <row r="64" spans="1:10" ht="15.75" customHeight="1" x14ac:dyDescent="0.35">
      <c r="A64" s="62" t="str">
        <f>CONCATENATE("cpovsdo:","cell/",ROWS(A$8:A64))</f>
        <v>cpovsdo:cell/57</v>
      </c>
      <c r="B64" s="15" t="s">
        <v>22</v>
      </c>
      <c r="C64" s="38" t="s">
        <v>109</v>
      </c>
      <c r="D64" s="38"/>
      <c r="E64" s="37"/>
      <c r="F64" s="14"/>
      <c r="G64" s="14"/>
      <c r="H64" s="15" t="s">
        <v>56</v>
      </c>
      <c r="I64" s="42"/>
      <c r="J64" s="14"/>
    </row>
    <row r="65" spans="1:10" ht="15.75" customHeight="1" x14ac:dyDescent="0.35">
      <c r="A65" s="17" t="str">
        <f>CONCATENATE("cpovsdo:","cell/",ROWS(A$8:A65))</f>
        <v>cpovsdo:cell/58</v>
      </c>
      <c r="B65" s="15" t="s">
        <v>22</v>
      </c>
      <c r="C65" s="38" t="s">
        <v>110</v>
      </c>
      <c r="D65" s="38" t="s">
        <v>134</v>
      </c>
      <c r="E65" s="19" t="s">
        <v>37</v>
      </c>
      <c r="F65" s="21">
        <v>1</v>
      </c>
      <c r="G65" s="38" t="s">
        <v>38</v>
      </c>
      <c r="H65" s="15" t="s">
        <v>56</v>
      </c>
      <c r="I65" s="42"/>
      <c r="J65" s="38" t="s">
        <v>67</v>
      </c>
    </row>
    <row r="66" spans="1:10" ht="15.75" customHeight="1" x14ac:dyDescent="0.35">
      <c r="A66" s="64" t="str">
        <f>CONCATENATE("cpovsdo:","cell/",ROWS(A$8:A66))</f>
        <v>cpovsdo:cell/59</v>
      </c>
      <c r="B66" s="58" t="s">
        <v>22</v>
      </c>
      <c r="C66" s="57" t="s">
        <v>111</v>
      </c>
      <c r="D66" s="57" t="s">
        <v>135</v>
      </c>
      <c r="E66" s="65" t="s">
        <v>23</v>
      </c>
      <c r="F66" s="72">
        <v>1</v>
      </c>
      <c r="G66" s="73" t="s">
        <v>39</v>
      </c>
      <c r="H66" s="58" t="s">
        <v>56</v>
      </c>
      <c r="I66" s="74"/>
      <c r="J66" s="75"/>
    </row>
    <row r="67" spans="1:10" ht="15.75" customHeight="1" x14ac:dyDescent="0.35">
      <c r="A67" s="76" t="str">
        <f>CONCATENATE("cpovsdo:","cell/",ROWS(A$8:A67))</f>
        <v>cpovsdo:cell/60</v>
      </c>
      <c r="B67" s="67" t="s">
        <v>22</v>
      </c>
      <c r="C67" s="66" t="s">
        <v>149</v>
      </c>
      <c r="D67" s="66" t="s">
        <v>151</v>
      </c>
      <c r="E67" s="70" t="s">
        <v>37</v>
      </c>
      <c r="F67" s="69">
        <v>0.7</v>
      </c>
      <c r="G67" s="71" t="s">
        <v>38</v>
      </c>
      <c r="H67" s="67" t="s">
        <v>56</v>
      </c>
      <c r="I67" s="66"/>
      <c r="J67" s="71" t="s">
        <v>67</v>
      </c>
    </row>
    <row r="68" spans="1:10" ht="15.75" customHeight="1" x14ac:dyDescent="0.35">
      <c r="A68" s="77" t="str">
        <f>CONCATENATE("cpovsdo:","cell/",ROWS(A$8:A68))</f>
        <v>cpovsdo:cell/61</v>
      </c>
      <c r="B68" s="15" t="s">
        <v>22</v>
      </c>
      <c r="C68" s="14" t="s">
        <v>150</v>
      </c>
      <c r="D68" s="14"/>
      <c r="E68" s="37"/>
      <c r="F68" s="14"/>
      <c r="G68" s="14"/>
      <c r="H68" s="15" t="s">
        <v>56</v>
      </c>
      <c r="I68" s="14"/>
      <c r="J68" s="14"/>
    </row>
    <row r="69" spans="1:10" ht="15.75" customHeight="1" x14ac:dyDescent="0.35">
      <c r="A69" s="76" t="str">
        <f>CONCATENATE("cpovsdo:","cell/",ROWS(A$8:A69))</f>
        <v>cpovsdo:cell/62</v>
      </c>
      <c r="B69" s="67" t="s">
        <v>22</v>
      </c>
      <c r="C69" s="66" t="s">
        <v>76</v>
      </c>
      <c r="D69" s="68" t="s">
        <v>114</v>
      </c>
      <c r="E69" s="70" t="s">
        <v>37</v>
      </c>
      <c r="F69" s="69">
        <v>1</v>
      </c>
      <c r="G69" s="71" t="s">
        <v>38</v>
      </c>
      <c r="H69" s="67" t="s">
        <v>56</v>
      </c>
      <c r="I69" s="66" t="s">
        <v>152</v>
      </c>
      <c r="J69" s="66"/>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33" r:id="rId17" xr:uid="{2B3E0462-C49B-4654-A10D-8ECCF125A2B1}"/>
    <hyperlink ref="D55" r:id="rId18" xr:uid="{9631DAC1-8706-4251-AC50-CA5D9D053427}"/>
    <hyperlink ref="D34" r:id="rId19" xr:uid="{56BB41CD-1923-46F3-9859-E638FA93B6B6}"/>
    <hyperlink ref="D69" r:id="rId20" xr:uid="{F7997A69-5C6E-4D10-BF71-D4874FD0825B}"/>
  </hyperlinks>
  <pageMargins left="0.7" right="0.7" top="0.75" bottom="0.75" header="0.3" footer="0.3"/>
  <pageSetup paperSize="9"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2024-03-21T13:36:06Z</dcterms:modified>
</cp:coreProperties>
</file>