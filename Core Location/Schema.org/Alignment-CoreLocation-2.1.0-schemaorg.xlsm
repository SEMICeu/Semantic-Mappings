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antic-Mappings\Core Location\Schema.org\"/>
    </mc:Choice>
  </mc:AlternateContent>
  <xr:revisionPtr revIDLastSave="0" documentId="13_ncr:1_{7897CEC3-AFC0-42E3-8231-CF45028BB812}" xr6:coauthVersionLast="47" xr6:coauthVersionMax="47" xr10:uidLastSave="{00000000-0000-0000-0000-000000000000}"/>
  <bookViews>
    <workbookView xWindow="-90" yWindow="2550" windowWidth="14400" windowHeight="818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3" i="2" l="1"/>
  <c r="A42" i="2"/>
  <c r="A41" i="2"/>
  <c r="A24" i="2"/>
  <c r="A40" i="2"/>
  <c r="A39" i="2"/>
  <c r="A37" i="2"/>
  <c r="A36" i="2"/>
  <c r="A34" i="2"/>
  <c r="A32" i="2"/>
  <c r="A31" i="2"/>
  <c r="A30" i="2"/>
  <c r="A29" i="2"/>
  <c r="A28" i="2"/>
  <c r="A27" i="2"/>
  <c r="A26" i="2"/>
  <c r="A25" i="2"/>
  <c r="A23" i="2"/>
  <c r="A22" i="2"/>
  <c r="A20" i="2"/>
  <c r="A15" i="2"/>
  <c r="A13" i="2"/>
  <c r="A38" i="2"/>
  <c r="A35" i="2"/>
  <c r="A33" i="2"/>
  <c r="A21" i="2"/>
  <c r="A19" i="2"/>
  <c r="A18" i="2"/>
  <c r="A17" i="2"/>
  <c r="A16" i="2"/>
  <c r="A14" i="2"/>
  <c r="A12" i="2"/>
  <c r="A11" i="2"/>
  <c r="A10" i="2"/>
  <c r="A9" i="2"/>
  <c r="A8" i="2"/>
  <c r="E14" i="1" a="1"/>
  <c r="E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<sst xmlns="http://schemas.openxmlformats.org/spreadsheetml/2006/main" count="219" uniqueCount="104">
  <si>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</si>
  <si>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</si>
  <si>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</si>
  <si>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</si>
  <si>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</si>
  <si>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</si>
  <si>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locsdo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</si>
  <si>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</si>
  <si>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</si>
  <si>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</si>
  <si>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</si>
  <si>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</si>
  <si>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</si>
  <si>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</si>
  <si>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</si>
  <si>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</si>
  <si>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</si>
  <si>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</si>
  <si>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</si>
  <si>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</si>
  <si>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</si>
  <si>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</si>
  <si>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</si>
  <si>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</si>
  <si>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</si>
  <si>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</si>
  <si>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=</t>
  </si>
  <si>
    <t>owl:equivalentClass</t>
  </si>
  <si>
    <t>http://www.w3.org/ns/locn#Address</t>
  </si>
  <si>
    <t>http://www.w3.org/ns/locn#addressArea</t>
  </si>
  <si>
    <t>http://www.w3.org/ns/locn#addressId</t>
  </si>
  <si>
    <t>http://www.w3.org/ns/locn#adminUnitL1</t>
  </si>
  <si>
    <t>http://www.w3.org/ns/locn#adminUnitL2</t>
  </si>
  <si>
    <t>http://www.w3.org/ns/locn#fullAddress</t>
  </si>
  <si>
    <t>http://www.w3.org/ns/locn#locatorDesignator</t>
  </si>
  <si>
    <t>http://www.w3.org/ns/locn#locatorName</t>
  </si>
  <si>
    <t>http://www.w3.org/ns/locn#poBox</t>
  </si>
  <si>
    <t>http://www.w3.org/ns/locn#postCode</t>
  </si>
  <si>
    <t>http://www.w3.org/ns/locn#postName</t>
  </si>
  <si>
    <t>http://www.w3.org/ns/locn#thoroughfare</t>
  </si>
  <si>
    <t>http://data.europa.eu/m8g/adminUnit</t>
  </si>
  <si>
    <t>http://data.europa.eu/m8g/AdminUnit</t>
  </si>
  <si>
    <t>http://data.europa.eu/m8g/code</t>
  </si>
  <si>
    <t>http://data.europa.eu/m8g/level</t>
  </si>
  <si>
    <t>http://www.w3.org/ns/locn#Geometry</t>
  </si>
  <si>
    <t>http://www.opengis.net/ont/geosparql#asGML</t>
  </si>
  <si>
    <t>http://data.europa.eu/m8g/latitude</t>
  </si>
  <si>
    <t>http://data.europa.eu/m8g/longitude</t>
  </si>
  <si>
    <t>http://www.opengis.net/ont/geosparql#asWKT</t>
  </si>
  <si>
    <t>http://data.europa.eu/m8g/coordinates</t>
  </si>
  <si>
    <t>http://data.europa.eu/m8g/crs</t>
  </si>
  <si>
    <t>http://data.europa.eu/m8g/geometryType</t>
  </si>
  <si>
    <t>http://www.w3.org/2000/01/rdf-schema#Resource</t>
  </si>
  <si>
    <t>http://www.w3.org/ns/locn#geometry</t>
  </si>
  <si>
    <t>http://data.europa.eu/m8g/registeredAddress</t>
  </si>
  <si>
    <t>&lt;</t>
  </si>
  <si>
    <t>rdfs:subPropertyOf</t>
  </si>
  <si>
    <t>http://purl.org/dc/terms/Location</t>
  </si>
  <si>
    <t>http://www.w3.org/2000/01/rdf-schema#seeAlso</t>
  </si>
  <si>
    <t>http://www.w3.org/ns/locn#geographicName</t>
  </si>
  <si>
    <t>owl:equivalentProperty</t>
  </si>
  <si>
    <t>https://schema.org/postalCode</t>
  </si>
  <si>
    <t>dct:publisher</t>
  </si>
  <si>
    <t>https://schema.org/</t>
  </si>
  <si>
    <t>https://schema.org/PostalAddress</t>
  </si>
  <si>
    <t>https://schema.org/identifier</t>
  </si>
  <si>
    <t>https://schema.org/addressCountry</t>
  </si>
  <si>
    <t>https://schema.org/addressRegion</t>
  </si>
  <si>
    <t>https://schema.org/streetAddress</t>
  </si>
  <si>
    <t>https://schema.org/postOfficeBoxNumber</t>
  </si>
  <si>
    <t>https://schema.org/addressLocality</t>
  </si>
  <si>
    <t>https://schema.org/Place</t>
  </si>
  <si>
    <t>https://schema.org/name</t>
  </si>
  <si>
    <t>https://schema.org/geo</t>
  </si>
  <si>
    <t>http://mapping.semic.eu/location/sdo/</t>
  </si>
  <si>
    <t>http://mapping.semic.eu/location/sdo</t>
  </si>
  <si>
    <t>addressArea is for a part of city while addressLocality could indicate a city</t>
  </si>
  <si>
    <t>https://schema.org/location</t>
  </si>
  <si>
    <t>As location might be expressed as Text, in this case locatorName might map to location</t>
  </si>
  <si>
    <t>In the mapping of Andrea Perego Geometry has narrowMatch GeoShape, with automatic tools I get GeospatialGeometry candidate class</t>
  </si>
  <si>
    <t>https://schema.org/latitude</t>
  </si>
  <si>
    <t>Added</t>
  </si>
  <si>
    <t>https://schema.org/longitude</t>
  </si>
  <si>
    <t>https://schema.org/address</t>
  </si>
  <si>
    <t>changed from closeMatch: sdo:address can take PostalAddress but also a Text as values.</t>
  </si>
  <si>
    <t>Added: sdo:location can have different values including Place (which is mapped to Location)</t>
  </si>
  <si>
    <t>rdfs:comment</t>
  </si>
  <si>
    <t>http://data.europa.eu/m8g/</t>
  </si>
  <si>
    <t>sssom:mapping_justification</t>
  </si>
  <si>
    <t>semapv</t>
  </si>
  <si>
    <t>https://w3id.org/semapv/vocab/</t>
  </si>
  <si>
    <t>semapv:MappingReview</t>
  </si>
  <si>
    <t>Alignment of Core Location with Schema.org</t>
  </si>
  <si>
    <t>It describes an alignment between Core Location and Schema.org. The mapping is based on the previous work at: https://semiceu.github.io/locn-mapping/.
The spreadsheet can be converted in RDF format using SKOS Play!. The RDF format are based on the Aligment Format and on SSSOM.</t>
  </si>
  <si>
    <t>It could be a subPropertyOf sdo:address property when expressed as Text</t>
  </si>
  <si>
    <t>owl:annotatedProperty</t>
  </si>
  <si>
    <t>http://w3.org/ns/locn#address</t>
  </si>
  <si>
    <t>http://www.w3.org/ns/locn#location</t>
  </si>
  <si>
    <t>http://www.w3.org/2000/01/rdf-schema#label</t>
  </si>
  <si>
    <t>http://inspire.ec.europa.eu/ont/ad#LocatorDesignator</t>
  </si>
  <si>
    <t>http://inspire.ec.europa.eu/ont/ad#LocatorDesignator.designator</t>
  </si>
  <si>
    <t>http://inspire.ec.europa.eu/ont/ad#LocatorDesignator.type</t>
  </si>
  <si>
    <t>2.1.0</t>
  </si>
  <si>
    <t>26.0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</si>
</sst>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7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1155CC"/>
      <name val="Arial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sz val="10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u/>
      <sz val="11"/>
      <color rgb="FF1155CC"/>
      <name val="Calibri"/>
      <family val="2"/>
    </font>
    <font>
      <strike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 applyFont="1" applyAlignment="1"/>
    <xf numFmtId="0" fontId="1" fillId="0" borderId="1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" fillId="0" borderId="1" xfId="0" applyFont="1" applyBorder="1" applyAlignment="1"/>
    <xf numFmtId="0" fontId="3" fillId="0" borderId="1" xfId="0" applyFont="1" applyBorder="1" applyAlignment="1"/>
    <xf numFmtId="0" fontId="2" fillId="0" borderId="3" xfId="0" applyFont="1" applyBorder="1" applyAlignment="1"/>
    <xf numFmtId="0" fontId="4" fillId="0" borderId="1" xfId="0" applyFont="1" applyBorder="1" applyAlignment="1"/>
    <xf numFmtId="0" fontId="2" fillId="0" borderId="1" xfId="0" applyFont="1" applyBorder="1" applyAlignment="1"/>
    <xf numFmtId="164" fontId="2" fillId="0" borderId="1" xfId="0" applyNumberFormat="1" applyFont="1" applyBorder="1" applyAlignment="1">
      <alignment horizontal="right"/>
    </xf>
    <xf numFmtId="0" fontId="7" fillId="0" borderId="1" xfId="0" applyFont="1" applyBorder="1" applyAlignment="1"/>
    <xf numFmtId="0" fontId="2" fillId="0" borderId="1" xfId="0" applyFont="1" applyBorder="1" applyAlignment="1"/>
    <xf numFmtId="0" fontId="2" fillId="0" borderId="5" xfId="0" applyFont="1" applyBorder="1" applyAlignment="1"/>
    <xf numFmtId="0" fontId="1" fillId="0" borderId="6" xfId="0" applyFont="1" applyBorder="1" applyAlignment="1"/>
    <xf numFmtId="0" fontId="2" fillId="0" borderId="7" xfId="0" applyFont="1" applyBorder="1" applyAlignment="1"/>
    <xf numFmtId="0" fontId="2" fillId="0" borderId="6" xfId="0" applyFont="1" applyBorder="1" applyAlignment="1"/>
    <xf numFmtId="165" fontId="2" fillId="0" borderId="3" xfId="0" applyNumberFormat="1" applyFont="1" applyBorder="1" applyAlignment="1">
      <alignment horizontal="right"/>
    </xf>
    <xf numFmtId="0" fontId="2" fillId="0" borderId="9" xfId="0" applyFont="1" applyBorder="1" applyAlignment="1"/>
    <xf numFmtId="0" fontId="0" fillId="0" borderId="8" xfId="0" applyFont="1" applyBorder="1" applyAlignment="1"/>
    <xf numFmtId="0" fontId="2" fillId="0" borderId="8" xfId="0" applyFont="1" applyBorder="1" applyAlignment="1"/>
    <xf numFmtId="0" fontId="0" fillId="0" borderId="8" xfId="0" quotePrefix="1" applyBorder="1"/>
    <xf numFmtId="0" fontId="0" fillId="0" borderId="8" xfId="0" applyBorder="1"/>
    <xf numFmtId="0" fontId="10" fillId="0" borderId="0" xfId="1" applyAlignment="1"/>
    <xf numFmtId="0" fontId="9" fillId="0" borderId="10" xfId="0" applyFont="1" applyBorder="1" applyAlignment="1"/>
    <xf numFmtId="0" fontId="10" fillId="0" borderId="8" xfId="1" applyBorder="1" applyAlignment="1"/>
    <xf numFmtId="0" fontId="13" fillId="0" borderId="8" xfId="0" applyFont="1" applyBorder="1" applyAlignment="1">
      <alignment horizontal="center"/>
    </xf>
    <xf numFmtId="0" fontId="0" fillId="0" borderId="0" xfId="0" applyFont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10" fillId="0" borderId="1" xfId="1" applyBorder="1" applyAlignment="1"/>
    <xf numFmtId="0" fontId="2" fillId="0" borderId="12" xfId="0" applyFont="1" applyBorder="1" applyAlignment="1"/>
    <xf numFmtId="0" fontId="14" fillId="2" borderId="8" xfId="0" applyFont="1" applyFill="1" applyBorder="1"/>
    <xf numFmtId="0" fontId="12" fillId="2" borderId="6" xfId="0" applyFont="1" applyFill="1" applyBorder="1" applyAlignment="1"/>
    <xf numFmtId="0" fontId="12" fillId="2" borderId="9" xfId="0" applyFont="1" applyFill="1" applyBorder="1" applyAlignment="1"/>
    <xf numFmtId="0" fontId="12" fillId="2" borderId="3" xfId="0" applyFont="1" applyFill="1" applyBorder="1" applyAlignment="1">
      <alignment horizontal="center"/>
    </xf>
    <xf numFmtId="0" fontId="12" fillId="2" borderId="3" xfId="0" applyFont="1" applyFill="1" applyBorder="1" applyAlignment="1"/>
    <xf numFmtId="0" fontId="2" fillId="0" borderId="8" xfId="0" applyFont="1" applyBorder="1" applyAlignment="1">
      <alignment horizontal="center"/>
    </xf>
    <xf numFmtId="0" fontId="2" fillId="0" borderId="4" xfId="0" applyFont="1" applyBorder="1" applyAlignment="1"/>
    <xf numFmtId="0" fontId="8" fillId="0" borderId="8" xfId="0" applyFont="1" applyBorder="1" applyAlignment="1"/>
    <xf numFmtId="0" fontId="15" fillId="0" borderId="10" xfId="0" applyFont="1" applyBorder="1" applyAlignment="1"/>
    <xf numFmtId="0" fontId="11" fillId="0" borderId="8" xfId="0" applyFont="1" applyBorder="1" applyAlignment="1"/>
    <xf numFmtId="0" fontId="13" fillId="0" borderId="8" xfId="0" quotePrefix="1" applyFont="1" applyBorder="1"/>
    <xf numFmtId="0" fontId="2" fillId="0" borderId="8" xfId="0" quotePrefix="1" applyFont="1" applyBorder="1" applyAlignment="1">
      <alignment horizontal="center"/>
    </xf>
    <xf numFmtId="0" fontId="2" fillId="0" borderId="7" xfId="0" applyFont="1" applyBorder="1"/>
    <xf numFmtId="0" fontId="16" fillId="0" borderId="8" xfId="0" quotePrefix="1" applyFont="1" applyBorder="1" applyAlignment="1">
      <alignment horizontal="center"/>
    </xf>
    <xf numFmtId="0" fontId="13" fillId="0" borderId="13" xfId="0" applyFont="1" applyBorder="1"/>
    <xf numFmtId="0" fontId="13" fillId="0" borderId="11" xfId="0" applyFont="1" applyBorder="1"/>
    <xf numFmtId="0" fontId="0" fillId="0" borderId="8" xfId="0" applyBorder="1" applyAlignment="1">
      <alignment horizontal="center"/>
    </xf>
    <xf numFmtId="0" fontId="0" fillId="0" borderId="11" xfId="0" applyBorder="1"/>
    <xf numFmtId="0" fontId="13" fillId="0" borderId="8" xfId="0" applyFont="1" applyBorder="1"/>
    <xf numFmtId="0" fontId="1" fillId="2" borderId="8" xfId="0" applyFont="1" applyFill="1" applyBorder="1" applyAlignment="1"/>
    <xf numFmtId="49" fontId="2" fillId="0" borderId="3" xfId="0" quotePrefix="1" applyNumberFormat="1" applyFont="1" applyBorder="1" applyAlignment="1"/>
    <xf numFmtId="0" fontId="2" fillId="0" borderId="0" xfId="0" applyFont="1" applyBorder="1" applyAlignment="1"/>
    <xf numFmtId="0" fontId="0" fillId="0" borderId="14" xfId="0" applyFont="1" applyBorder="1" applyAlignment="1"/>
    <xf numFmtId="0" fontId="1" fillId="2" borderId="14" xfId="0" applyFont="1" applyFill="1" applyBorder="1" applyAlignment="1"/>
    <xf numFmtId="0" fontId="0" fillId="0" borderId="14" xfId="0" applyBorder="1" applyAlignment="1"/>
    <xf numFmtId="0" fontId="13" fillId="0" borderId="14" xfId="0" applyFont="1" applyBorder="1" applyAlignment="1"/>
    <xf numFmtId="0" fontId="2" fillId="0" borderId="8" xfId="0" applyFont="1" applyBorder="1"/>
    <xf numFmtId="0" fontId="10" fillId="0" borderId="0" xfId="1" applyBorder="1" applyAlignment="1"/>
    <xf numFmtId="0" fontId="0" fillId="0" borderId="0" xfId="0" applyFont="1" applyBorder="1" applyAlignment="1"/>
    <xf numFmtId="0" fontId="2" fillId="0" borderId="1" xfId="0" applyFont="1" applyBorder="1" applyAlignment="1">
      <alignment wrapText="1"/>
    </xf>
    <xf numFmtId="0" fontId="1" fillId="2" borderId="7" xfId="0" applyFont="1" applyFill="1" applyBorder="1" applyAlignment="1"/>
    <xf numFmtId="0" fontId="10" fillId="0" borderId="8" xfId="1" quotePrefix="1" applyBorder="1"/>
    <xf numFmtId="0" fontId="9" fillId="0" borderId="15" xfId="0" applyFont="1" applyBorder="1" applyAlignment="1"/>
    <xf numFmtId="0" fontId="2" fillId="0" borderId="16" xfId="0" applyFont="1" applyBorder="1" applyAlignment="1"/>
    <xf numFmtId="0" fontId="0" fillId="0" borderId="16" xfId="0" quotePrefix="1" applyBorder="1"/>
    <xf numFmtId="0" fontId="10" fillId="0" borderId="16" xfId="1" applyBorder="1" applyAlignment="1"/>
    <xf numFmtId="0" fontId="13" fillId="0" borderId="16" xfId="0" applyFont="1" applyBorder="1" applyAlignment="1">
      <alignment horizontal="center"/>
    </xf>
    <xf numFmtId="165" fontId="2" fillId="0" borderId="9" xfId="0" applyNumberFormat="1" applyFont="1" applyBorder="1" applyAlignment="1">
      <alignment horizontal="right"/>
    </xf>
    <xf numFmtId="0" fontId="13" fillId="0" borderId="17" xfId="0" applyFont="1" applyBorder="1"/>
    <xf numFmtId="0" fontId="2" fillId="0" borderId="16" xfId="0" applyFont="1" applyBorder="1"/>
    <xf numFmtId="0" fontId="13" fillId="0" borderId="18" xfId="0" applyFont="1" applyBorder="1" applyAlignment="1"/>
    <xf numFmtId="0" fontId="0" fillId="0" borderId="8" xfId="0" applyFont="1" applyBorder="1" applyAlignment="1">
      <alignment horizontal="center"/>
    </xf>
    <xf numFmtId="0" fontId="10" fillId="0" borderId="4" xfId="1" applyBorder="1" applyAlignment="1"/>
    <xf numFmtId="0" fontId="0" fillId="0" borderId="8" xfId="0" applyFont="1" applyBorder="1" applyAlignment="1">
      <alignment wrapText="1"/>
    </xf>
    <xf numFmtId="0" fontId="5" fillId="0" borderId="4" xfId="0" applyFont="1" applyBorder="1" applyAlignment="1"/>
    <xf numFmtId="0" fontId="6" fillId="0" borderId="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xmlMaps" Target="xmlMap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mapping.semic.eu/location/sdo" TargetMode="External"/><Relationship Id="rId3" Type="http://schemas.openxmlformats.org/officeDocument/2006/relationships/hyperlink" Target="http://publications.europa.eu/resource/authority/corporate-body/DIGIT" TargetMode="External"/><Relationship Id="rId7" Type="http://schemas.openxmlformats.org/officeDocument/2006/relationships/hyperlink" Target="http://mapping.semic.eu/location/sdo" TargetMode="External"/><Relationship Id="rId2" Type="http://schemas.openxmlformats.org/officeDocument/2006/relationships/hyperlink" Target="https://w3id.org/sssom/subject_source_version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mapping.semic.eu/location/sdo/" TargetMode="External"/><Relationship Id="rId5" Type="http://schemas.openxmlformats.org/officeDocument/2006/relationships/hyperlink" Target="https://schema.org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creativecommons.org/licenses/by/4.0/" TargetMode="External"/><Relationship Id="rId9" Type="http://schemas.openxmlformats.org/officeDocument/2006/relationships/hyperlink" Target="http://data.europa.eu/m8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chema.org/streetAddress" TargetMode="External"/><Relationship Id="rId13" Type="http://schemas.openxmlformats.org/officeDocument/2006/relationships/hyperlink" Target="http://schema.org/postalCode" TargetMode="External"/><Relationship Id="rId18" Type="http://schemas.openxmlformats.org/officeDocument/2006/relationships/hyperlink" Target="https://schema.org/latitude" TargetMode="External"/><Relationship Id="rId26" Type="http://schemas.openxmlformats.org/officeDocument/2006/relationships/hyperlink" Target="http://www.w3.org/2000/01/rdf-schema" TargetMode="External"/><Relationship Id="rId3" Type="http://schemas.openxmlformats.org/officeDocument/2006/relationships/hyperlink" Target="http://mapping.semic.eu/location/sdo" TargetMode="External"/><Relationship Id="rId21" Type="http://schemas.openxmlformats.org/officeDocument/2006/relationships/hyperlink" Target="https://schema.org/location" TargetMode="External"/><Relationship Id="rId7" Type="http://schemas.openxmlformats.org/officeDocument/2006/relationships/hyperlink" Target="http://schema.org/addressRegion" TargetMode="External"/><Relationship Id="rId12" Type="http://schemas.openxmlformats.org/officeDocument/2006/relationships/hyperlink" Target="http://schema.org/postOfficeBoxNumber" TargetMode="External"/><Relationship Id="rId17" Type="http://schemas.openxmlformats.org/officeDocument/2006/relationships/hyperlink" Target="https://schema.org/name" TargetMode="External"/><Relationship Id="rId25" Type="http://schemas.openxmlformats.org/officeDocument/2006/relationships/hyperlink" Target="http://www.w3.org/ns/locn" TargetMode="External"/><Relationship Id="rId2" Type="http://schemas.openxmlformats.org/officeDocument/2006/relationships/hyperlink" Target="http://mapping.semic.eu/location/sdo/" TargetMode="External"/><Relationship Id="rId16" Type="http://schemas.openxmlformats.org/officeDocument/2006/relationships/hyperlink" Target="http://schema.org/addressLocality" TargetMode="External"/><Relationship Id="rId20" Type="http://schemas.openxmlformats.org/officeDocument/2006/relationships/hyperlink" Target="https://schema.org/address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schema.org/addressCountry" TargetMode="External"/><Relationship Id="rId11" Type="http://schemas.openxmlformats.org/officeDocument/2006/relationships/hyperlink" Target="http://schema.org/Place" TargetMode="External"/><Relationship Id="rId24" Type="http://schemas.openxmlformats.org/officeDocument/2006/relationships/hyperlink" Target="https://w3id.org/semapv/vocab/" TargetMode="External"/><Relationship Id="rId5" Type="http://schemas.openxmlformats.org/officeDocument/2006/relationships/hyperlink" Target="http://schema.org/identifier" TargetMode="External"/><Relationship Id="rId15" Type="http://schemas.openxmlformats.org/officeDocument/2006/relationships/hyperlink" Target="http://schema.org/streetAddress" TargetMode="External"/><Relationship Id="rId23" Type="http://schemas.openxmlformats.org/officeDocument/2006/relationships/hyperlink" Target="https://w3id.org/sssom/" TargetMode="External"/><Relationship Id="rId10" Type="http://schemas.openxmlformats.org/officeDocument/2006/relationships/hyperlink" Target="http://schema.org/geo" TargetMode="External"/><Relationship Id="rId19" Type="http://schemas.openxmlformats.org/officeDocument/2006/relationships/hyperlink" Target="https://schema.org/longitude" TargetMode="External"/><Relationship Id="rId4" Type="http://schemas.openxmlformats.org/officeDocument/2006/relationships/hyperlink" Target="http://schema.org/PostalAddress" TargetMode="External"/><Relationship Id="rId9" Type="http://schemas.openxmlformats.org/officeDocument/2006/relationships/hyperlink" Target="http://schema.org/name" TargetMode="External"/><Relationship Id="rId14" Type="http://schemas.openxmlformats.org/officeDocument/2006/relationships/hyperlink" Target="http://schema.org/addressLocality" TargetMode="External"/><Relationship Id="rId22" Type="http://schemas.openxmlformats.org/officeDocument/2006/relationships/hyperlink" Target="https://schema.org/address" TargetMode="External"/><Relationship Id="rId27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4"/>
  <sheetViews>
    <sheetView workbookViewId="0">
      <selection activeCell="G14" sqref="G14"/>
    </sheetView>
  </sheetViews>
  <sheetFormatPr defaultColWidth="12.54296875" defaultRowHeight="15.75" customHeight="1" x14ac:dyDescent="0.25"/>
  <cols>
    <col min="1" max="1" width="20.54296875" customWidth="1"/>
    <col min="2" max="2" width="38.81640625" customWidth="1"/>
    <col min="3" max="3" width="35.453125" customWidth="1"/>
    <col min="4" max="4" width="16.54296875" bestFit="1" customWidth="1"/>
    <col min="5" max="5" width="85.81640625" customWidth="1"/>
    <col min="6" max="6" width="28" bestFit="1" customWidth="1"/>
    <col min="7" max="7" width="27" bestFit="1" customWidth="1"/>
  </cols>
  <sheetData>
    <row r="1" spans="1:7" ht="13" x14ac:dyDescent="0.3">
      <c r="A1" s="1" t="s">
        <v>0</v>
      </c>
      <c r="B1" s="28" t="s">
        <v>75</v>
      </c>
      <c r="C1" s="2"/>
      <c r="D1" s="2"/>
      <c r="E1" s="2"/>
      <c r="F1" s="2"/>
      <c r="G1" s="3"/>
    </row>
    <row r="2" spans="1:7" ht="13" x14ac:dyDescent="0.3">
      <c r="A2" s="4" t="s">
        <v>1</v>
      </c>
      <c r="B2" s="2" t="s">
        <v>2</v>
      </c>
      <c r="C2" s="5" t="s">
        <v>3</v>
      </c>
      <c r="D2" s="2"/>
      <c r="E2" s="2"/>
      <c r="F2" s="2"/>
      <c r="G2" s="6"/>
    </row>
    <row r="3" spans="1:7" ht="13" x14ac:dyDescent="0.3">
      <c r="A3" s="4" t="s">
        <v>1</v>
      </c>
      <c r="B3" s="2" t="s">
        <v>4</v>
      </c>
      <c r="C3" s="7" t="s">
        <v>5</v>
      </c>
      <c r="D3" s="2"/>
      <c r="E3" s="2"/>
      <c r="F3" s="2"/>
      <c r="G3" s="6"/>
    </row>
    <row r="4" spans="1:7" ht="13" x14ac:dyDescent="0.3">
      <c r="A4" s="1" t="s">
        <v>1</v>
      </c>
      <c r="B4" s="8" t="s">
        <v>6</v>
      </c>
      <c r="C4" s="28" t="s">
        <v>74</v>
      </c>
      <c r="D4" s="2"/>
      <c r="E4" s="2"/>
      <c r="F4" s="2"/>
      <c r="G4" s="6"/>
    </row>
    <row r="5" spans="1:7" ht="13" x14ac:dyDescent="0.3">
      <c r="A5" s="4" t="s">
        <v>7</v>
      </c>
      <c r="B5" s="15" t="s">
        <v>20</v>
      </c>
      <c r="C5" s="2"/>
      <c r="D5" s="2"/>
      <c r="E5" s="2"/>
      <c r="F5" s="2"/>
      <c r="G5" s="6"/>
    </row>
    <row r="6" spans="1:7" ht="13" x14ac:dyDescent="0.3">
      <c r="A6" s="4" t="s">
        <v>8</v>
      </c>
      <c r="B6" s="9">
        <v>45363</v>
      </c>
      <c r="C6" s="2"/>
      <c r="D6" s="2"/>
      <c r="E6" s="2"/>
      <c r="F6" s="2"/>
      <c r="G6" s="6"/>
    </row>
    <row r="7" spans="1:7" ht="13" x14ac:dyDescent="0.3">
      <c r="A7" s="4" t="s">
        <v>62</v>
      </c>
      <c r="B7" s="74" t="s">
        <v>9</v>
      </c>
      <c r="C7" s="75"/>
      <c r="D7" s="2"/>
      <c r="E7" s="2"/>
      <c r="F7" s="2"/>
      <c r="G7" s="6"/>
    </row>
    <row r="8" spans="1:7" ht="13" x14ac:dyDescent="0.3">
      <c r="A8" s="4" t="s">
        <v>10</v>
      </c>
      <c r="B8" s="10" t="s">
        <v>11</v>
      </c>
      <c r="C8" s="2"/>
      <c r="D8" s="2"/>
      <c r="E8" s="2"/>
      <c r="F8" s="2"/>
      <c r="G8" s="6"/>
    </row>
    <row r="9" spans="1:7" ht="13" x14ac:dyDescent="0.3">
      <c r="A9" s="4" t="s">
        <v>12</v>
      </c>
      <c r="B9" s="11" t="s">
        <v>92</v>
      </c>
      <c r="C9" s="2"/>
      <c r="D9" s="2"/>
      <c r="E9" s="2"/>
      <c r="F9" s="2"/>
      <c r="G9" s="6"/>
    </row>
    <row r="10" spans="1:7" ht="90" customHeight="1" x14ac:dyDescent="0.3">
      <c r="A10" s="4" t="s">
        <v>13</v>
      </c>
      <c r="B10" s="59" t="s">
        <v>93</v>
      </c>
      <c r="C10" s="2"/>
      <c r="D10" s="2"/>
      <c r="E10" s="2"/>
      <c r="F10" s="2"/>
      <c r="G10" s="6"/>
    </row>
    <row r="11" spans="1:7" ht="15.75" customHeight="1" x14ac:dyDescent="0.25">
      <c r="A11" s="2"/>
      <c r="B11" s="2"/>
      <c r="C11" s="2"/>
      <c r="D11" s="2"/>
      <c r="E11" s="2"/>
      <c r="F11" s="2"/>
      <c r="G11" s="6"/>
    </row>
    <row r="12" spans="1:7" ht="15.75" customHeight="1" x14ac:dyDescent="0.25">
      <c r="A12" s="29"/>
      <c r="B12" s="29"/>
      <c r="C12" s="29"/>
      <c r="D12" s="29"/>
      <c r="E12" s="29"/>
      <c r="F12" s="29"/>
      <c r="G12" s="17"/>
    </row>
    <row r="13" spans="1:7" ht="15.75" customHeight="1" x14ac:dyDescent="0.3">
      <c r="A13" s="30" t="s">
        <v>14</v>
      </c>
      <c r="B13" s="30" t="s">
        <v>7</v>
      </c>
      <c r="C13" s="30" t="s">
        <v>15</v>
      </c>
      <c r="D13" s="30" t="s">
        <v>16</v>
      </c>
      <c r="E13" s="30" t="s">
        <v>17</v>
      </c>
      <c r="F13" s="30" t="s">
        <v>18</v>
      </c>
      <c r="G13" s="30" t="s">
        <v>19</v>
      </c>
    </row>
    <row r="14" spans="1:7" ht="30.65" customHeight="1" x14ac:dyDescent="0.25">
      <c r="A14" s="72" t="s">
        <v>75</v>
      </c>
      <c r="B14" s="19" t="s">
        <v>20</v>
      </c>
      <c r="C14" s="24" t="s">
        <v>87</v>
      </c>
      <c r="D14" s="24" t="s">
        <v>63</v>
      </c>
      <c r="E14" s="73" t="str" cm="1">
        <f t="array" aca="1" ref="E14" ca="1">ConcatNoStrike(mapping!A8:A40,",")</f>
        <v>locsdo:cell/1,locsdo:cell/2,locsdo:cell/3,locsdo:cell/4,locsdo:cell/5,locsdo:cell/6,locsdo:cell/7,locsdo:cell/8,locsdo:cell/9,locsdo:cell/10,locsdo:cell/11,locsdo:cell/12,locsdo:cell/23,locsdo:cell/24,locsdo:cell/26,locsdo:cell/28,locsdo:cell/30,locsdo:cell/31,locsdo:cell/32,locsdo:cell/33,</v>
      </c>
      <c r="F14" s="50" t="s">
        <v>102</v>
      </c>
      <c r="G14" s="50" t="s">
        <v>103</v>
      </c>
    </row>
  </sheetData>
  <mergeCells count="1">
    <mergeCell ref="B7:C7"/>
  </mergeCells>
  <hyperlinks>
    <hyperlink ref="C2" r:id="rId1" xr:uid="{00000000-0004-0000-0000-000001000000}"/>
    <hyperlink ref="C3" r:id="rId2" xr:uid="{00000000-0004-0000-0000-000002000000}"/>
    <hyperlink ref="B7" r:id="rId3" xr:uid="{00000000-0004-0000-0000-000004000000}"/>
    <hyperlink ref="B8" r:id="rId4" xr:uid="{00000000-0004-0000-0000-000005000000}"/>
    <hyperlink ref="D14" r:id="rId5" xr:uid="{00000000-0004-0000-0000-000008000000}"/>
    <hyperlink ref="C4" r:id="rId6" xr:uid="{6278E4E2-D6FA-4505-9B6B-65FB6C0756EE}"/>
    <hyperlink ref="B1" r:id="rId7" xr:uid="{00000000-0004-0000-0000-000000000000}"/>
    <hyperlink ref="A14" r:id="rId8" xr:uid="{6D34C54D-78C4-442F-8FB1-2529C38752EE}"/>
    <hyperlink ref="C14" r:id="rId9" xr:uid="{00000000-0004-0000-0000-000007000000}"/>
  </hyperlinks>
  <pageMargins left="0.7" right="0.7" top="0.75" bottom="0.75" header="0.3" footer="0.3"/>
  <pageSetup paperSize="9" orientation="portrait" verticalDpi="0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I43"/>
  <sheetViews>
    <sheetView tabSelected="1" topLeftCell="A22" workbookViewId="0">
      <selection activeCell="D24" sqref="D24"/>
    </sheetView>
  </sheetViews>
  <sheetFormatPr defaultColWidth="12.54296875" defaultRowHeight="15.75" customHeight="1" x14ac:dyDescent="0.25"/>
  <cols>
    <col min="1" max="1" width="12.26953125" bestFit="1" customWidth="1"/>
    <col min="2" max="2" width="10.453125" customWidth="1"/>
    <col min="3" max="3" width="52.81640625" bestFit="1" customWidth="1"/>
    <col min="4" max="4" width="34.453125" bestFit="1" customWidth="1"/>
    <col min="5" max="5" width="12.54296875" style="26"/>
    <col min="6" max="6" width="23.26953125" bestFit="1" customWidth="1"/>
    <col min="7" max="7" width="21.26953125" bestFit="1" customWidth="1"/>
    <col min="8" max="8" width="21.26953125" style="58" customWidth="1"/>
    <col min="9" max="9" width="67.7265625" customWidth="1"/>
  </cols>
  <sheetData>
    <row r="1" spans="1:9" ht="13" x14ac:dyDescent="0.3">
      <c r="A1" s="1" t="s">
        <v>0</v>
      </c>
      <c r="B1" s="28" t="s">
        <v>75</v>
      </c>
      <c r="C1" s="19"/>
      <c r="D1" s="12"/>
      <c r="E1" s="35"/>
      <c r="F1" s="3"/>
      <c r="G1" s="12"/>
      <c r="H1" s="19"/>
      <c r="I1" s="52"/>
    </row>
    <row r="2" spans="1:9" ht="13" x14ac:dyDescent="0.3">
      <c r="A2" s="13" t="s">
        <v>1</v>
      </c>
      <c r="B2" s="14" t="s">
        <v>2</v>
      </c>
      <c r="C2" s="37" t="s">
        <v>3</v>
      </c>
      <c r="D2" s="14"/>
      <c r="E2" s="35"/>
      <c r="F2" s="6"/>
      <c r="G2" s="14"/>
      <c r="H2" s="19"/>
      <c r="I2" s="52"/>
    </row>
    <row r="3" spans="1:9" ht="13" x14ac:dyDescent="0.3">
      <c r="A3" s="4" t="s">
        <v>1</v>
      </c>
      <c r="B3" s="36" t="s">
        <v>6</v>
      </c>
      <c r="C3" s="28" t="s">
        <v>74</v>
      </c>
      <c r="D3" s="14"/>
      <c r="E3" s="35"/>
      <c r="F3" s="6"/>
      <c r="G3" s="14"/>
      <c r="H3" s="19"/>
      <c r="I3" s="52"/>
    </row>
    <row r="4" spans="1:9" ht="13" x14ac:dyDescent="0.3">
      <c r="A4" s="13" t="s">
        <v>1</v>
      </c>
      <c r="B4" s="14" t="s">
        <v>4</v>
      </c>
      <c r="C4" s="57" t="s">
        <v>5</v>
      </c>
      <c r="D4" s="14"/>
      <c r="E4" s="35"/>
      <c r="F4" s="6"/>
      <c r="G4" s="14"/>
      <c r="H4" s="19"/>
      <c r="I4" s="52"/>
    </row>
    <row r="5" spans="1:9" ht="15.75" customHeight="1" x14ac:dyDescent="0.3">
      <c r="A5" s="13" t="s">
        <v>1</v>
      </c>
      <c r="B5" s="14" t="s">
        <v>89</v>
      </c>
      <c r="C5" s="24" t="s">
        <v>90</v>
      </c>
      <c r="D5" s="14"/>
      <c r="E5" s="35"/>
      <c r="F5" s="6"/>
      <c r="G5" s="14"/>
      <c r="H5" s="19"/>
      <c r="I5" s="52"/>
    </row>
    <row r="6" spans="1:9" ht="15.75" customHeight="1" x14ac:dyDescent="0.25">
      <c r="A6" s="15"/>
      <c r="B6" s="51"/>
      <c r="C6" s="51"/>
      <c r="D6" s="51"/>
      <c r="E6" s="35"/>
      <c r="F6" s="6"/>
      <c r="G6" s="14"/>
      <c r="H6" s="19"/>
      <c r="I6" s="52"/>
    </row>
    <row r="7" spans="1:9" ht="15.75" customHeight="1" x14ac:dyDescent="0.3">
      <c r="A7" s="31" t="s">
        <v>14</v>
      </c>
      <c r="B7" s="32" t="s">
        <v>7</v>
      </c>
      <c r="C7" s="32" t="s">
        <v>21</v>
      </c>
      <c r="D7" s="32" t="s">
        <v>22</v>
      </c>
      <c r="E7" s="33" t="s">
        <v>23</v>
      </c>
      <c r="F7" s="34" t="s">
        <v>24</v>
      </c>
      <c r="G7" s="60" t="s">
        <v>95</v>
      </c>
      <c r="H7" s="49" t="s">
        <v>88</v>
      </c>
      <c r="I7" s="53" t="s">
        <v>86</v>
      </c>
    </row>
    <row r="8" spans="1:9" ht="15.75" customHeight="1" x14ac:dyDescent="0.35">
      <c r="A8" s="23" t="str">
        <f>CONCATENATE("locsdo:","cell/",ROWS(A$8:A8))</f>
        <v>locsdo:cell/1</v>
      </c>
      <c r="B8" s="19" t="s">
        <v>25</v>
      </c>
      <c r="C8" s="20" t="s">
        <v>28</v>
      </c>
      <c r="D8" s="24" t="s">
        <v>64</v>
      </c>
      <c r="E8" s="41" t="s">
        <v>26</v>
      </c>
      <c r="F8" s="27">
        <v>1</v>
      </c>
      <c r="G8" s="42" t="s">
        <v>27</v>
      </c>
      <c r="H8" s="56" t="s">
        <v>91</v>
      </c>
      <c r="I8" s="54"/>
    </row>
    <row r="9" spans="1:9" ht="15.75" customHeight="1" x14ac:dyDescent="0.35">
      <c r="A9" s="23" t="str">
        <f>CONCATENATE("locsdo:","cell/",ROWS(A$8:A9))</f>
        <v>locsdo:cell/2</v>
      </c>
      <c r="B9" s="39" t="s">
        <v>25</v>
      </c>
      <c r="C9" s="40" t="s">
        <v>29</v>
      </c>
      <c r="D9" s="24" t="s">
        <v>70</v>
      </c>
      <c r="E9" s="43" t="s">
        <v>55</v>
      </c>
      <c r="F9" s="27">
        <v>1</v>
      </c>
      <c r="G9" s="44" t="s">
        <v>56</v>
      </c>
      <c r="H9" s="56" t="s">
        <v>91</v>
      </c>
      <c r="I9" s="54" t="s">
        <v>76</v>
      </c>
    </row>
    <row r="10" spans="1:9" ht="15.75" customHeight="1" x14ac:dyDescent="0.35">
      <c r="A10" s="23" t="str">
        <f>CONCATENATE("locsdo:","cell/",ROWS(A$8:A10))</f>
        <v>locsdo:cell/3</v>
      </c>
      <c r="B10" s="19" t="s">
        <v>25</v>
      </c>
      <c r="C10" s="20" t="s">
        <v>30</v>
      </c>
      <c r="D10" s="24" t="s">
        <v>65</v>
      </c>
      <c r="E10" s="25" t="s">
        <v>55</v>
      </c>
      <c r="F10" s="27">
        <v>1</v>
      </c>
      <c r="G10" s="44" t="s">
        <v>56</v>
      </c>
      <c r="H10" s="56" t="s">
        <v>91</v>
      </c>
      <c r="I10" s="54"/>
    </row>
    <row r="11" spans="1:9" ht="15.75" customHeight="1" x14ac:dyDescent="0.35">
      <c r="A11" s="23" t="str">
        <f>CONCATENATE("locsdo:","cell/",ROWS(A$8:A11))</f>
        <v>locsdo:cell/4</v>
      </c>
      <c r="B11" s="19" t="s">
        <v>25</v>
      </c>
      <c r="C11" s="20" t="s">
        <v>31</v>
      </c>
      <c r="D11" s="24" t="s">
        <v>66</v>
      </c>
      <c r="E11" s="25" t="s">
        <v>26</v>
      </c>
      <c r="F11" s="27">
        <v>1</v>
      </c>
      <c r="G11" s="45" t="s">
        <v>60</v>
      </c>
      <c r="H11" s="56" t="s">
        <v>91</v>
      </c>
      <c r="I11" s="54"/>
    </row>
    <row r="12" spans="1:9" ht="15.75" customHeight="1" x14ac:dyDescent="0.35">
      <c r="A12" s="23" t="str">
        <f>CONCATENATE("locsdo:","cell/",ROWS(A$8:A12))</f>
        <v>locsdo:cell/5</v>
      </c>
      <c r="B12" s="19" t="s">
        <v>25</v>
      </c>
      <c r="C12" s="20" t="s">
        <v>32</v>
      </c>
      <c r="D12" s="24" t="s">
        <v>67</v>
      </c>
      <c r="E12" s="25" t="s">
        <v>26</v>
      </c>
      <c r="F12" s="27">
        <v>1</v>
      </c>
      <c r="G12" s="45" t="s">
        <v>60</v>
      </c>
      <c r="H12" s="56" t="s">
        <v>91</v>
      </c>
      <c r="I12" s="54"/>
    </row>
    <row r="13" spans="1:9" ht="15.75" customHeight="1" x14ac:dyDescent="0.35">
      <c r="A13" s="23" t="str">
        <f>CONCATENATE("locsdo:","cell/",ROWS(A$8:A13))</f>
        <v>locsdo:cell/6</v>
      </c>
      <c r="B13" s="19" t="s">
        <v>25</v>
      </c>
      <c r="C13" s="20" t="s">
        <v>33</v>
      </c>
      <c r="D13" s="24" t="s">
        <v>72</v>
      </c>
      <c r="E13" s="25" t="s">
        <v>55</v>
      </c>
      <c r="F13" s="27">
        <v>0.5</v>
      </c>
      <c r="G13" s="44" t="s">
        <v>56</v>
      </c>
      <c r="H13" s="56" t="s">
        <v>91</v>
      </c>
      <c r="I13" s="54" t="s">
        <v>94</v>
      </c>
    </row>
    <row r="14" spans="1:9" ht="15.75" customHeight="1" x14ac:dyDescent="0.35">
      <c r="A14" s="23" t="str">
        <f>CONCATENATE("locsdo:","cell/",ROWS(A$8:A14))</f>
        <v>locsdo:cell/7</v>
      </c>
      <c r="B14" s="19" t="s">
        <v>25</v>
      </c>
      <c r="C14" s="20" t="s">
        <v>34</v>
      </c>
      <c r="D14" s="24" t="s">
        <v>68</v>
      </c>
      <c r="E14" s="25" t="s">
        <v>55</v>
      </c>
      <c r="F14" s="16">
        <v>1</v>
      </c>
      <c r="G14" s="44" t="s">
        <v>56</v>
      </c>
      <c r="H14" s="56" t="s">
        <v>91</v>
      </c>
      <c r="I14" s="54"/>
    </row>
    <row r="15" spans="1:9" ht="15.75" customHeight="1" x14ac:dyDescent="0.35">
      <c r="A15" s="23" t="str">
        <f>CONCATENATE("locsdo:","cell/",ROWS(A$8:A15))</f>
        <v>locsdo:cell/8</v>
      </c>
      <c r="B15" s="19" t="s">
        <v>25</v>
      </c>
      <c r="C15" s="20" t="s">
        <v>35</v>
      </c>
      <c r="D15" s="24" t="s">
        <v>77</v>
      </c>
      <c r="E15" s="46" t="s">
        <v>55</v>
      </c>
      <c r="F15" s="21">
        <v>1</v>
      </c>
      <c r="G15" s="44" t="s">
        <v>56</v>
      </c>
      <c r="H15" s="56" t="s">
        <v>91</v>
      </c>
      <c r="I15" s="54" t="s">
        <v>78</v>
      </c>
    </row>
    <row r="16" spans="1:9" ht="15.75" customHeight="1" x14ac:dyDescent="0.35">
      <c r="A16" s="23" t="str">
        <f>CONCATENATE("locsdo:","cell/",ROWS(A$8:A16))</f>
        <v>locsdo:cell/9</v>
      </c>
      <c r="B16" s="19" t="s">
        <v>25</v>
      </c>
      <c r="C16" s="20" t="s">
        <v>36</v>
      </c>
      <c r="D16" s="24" t="s">
        <v>69</v>
      </c>
      <c r="E16" s="25" t="s">
        <v>26</v>
      </c>
      <c r="F16" s="16">
        <v>1</v>
      </c>
      <c r="G16" s="45" t="s">
        <v>60</v>
      </c>
      <c r="H16" s="56" t="s">
        <v>91</v>
      </c>
      <c r="I16" s="54"/>
    </row>
    <row r="17" spans="1:9" ht="15.75" customHeight="1" x14ac:dyDescent="0.35">
      <c r="A17" s="23" t="str">
        <f>CONCATENATE("locsdo:","cell/",ROWS(A$8:A17))</f>
        <v>locsdo:cell/10</v>
      </c>
      <c r="B17" s="19" t="s">
        <v>25</v>
      </c>
      <c r="C17" s="20" t="s">
        <v>37</v>
      </c>
      <c r="D17" s="24" t="s">
        <v>61</v>
      </c>
      <c r="E17" s="25" t="s">
        <v>26</v>
      </c>
      <c r="F17" s="16">
        <v>1</v>
      </c>
      <c r="G17" s="45" t="s">
        <v>60</v>
      </c>
      <c r="H17" s="56" t="s">
        <v>91</v>
      </c>
      <c r="I17" s="54"/>
    </row>
    <row r="18" spans="1:9" ht="15.75" customHeight="1" x14ac:dyDescent="0.35">
      <c r="A18" s="23" t="str">
        <f>CONCATENATE("locsdo:","cell/",ROWS(A$8:A18))</f>
        <v>locsdo:cell/11</v>
      </c>
      <c r="B18" s="19" t="s">
        <v>25</v>
      </c>
      <c r="C18" s="20" t="s">
        <v>38</v>
      </c>
      <c r="D18" s="24" t="s">
        <v>70</v>
      </c>
      <c r="E18" s="25" t="s">
        <v>26</v>
      </c>
      <c r="F18" s="16">
        <v>1</v>
      </c>
      <c r="G18" s="45" t="s">
        <v>60</v>
      </c>
      <c r="H18" s="56" t="s">
        <v>91</v>
      </c>
      <c r="I18" s="54"/>
    </row>
    <row r="19" spans="1:9" ht="15.75" customHeight="1" x14ac:dyDescent="0.35">
      <c r="A19" s="23" t="str">
        <f>CONCATENATE("locsdo:","cell/",ROWS(A$8:A19))</f>
        <v>locsdo:cell/12</v>
      </c>
      <c r="B19" s="19" t="s">
        <v>25</v>
      </c>
      <c r="C19" s="20" t="s">
        <v>39</v>
      </c>
      <c r="D19" s="24" t="s">
        <v>68</v>
      </c>
      <c r="E19" s="25" t="s">
        <v>55</v>
      </c>
      <c r="F19" s="16">
        <v>1</v>
      </c>
      <c r="G19" s="45" t="s">
        <v>56</v>
      </c>
      <c r="H19" s="56" t="s">
        <v>91</v>
      </c>
      <c r="I19" s="54"/>
    </row>
    <row r="20" spans="1:9" ht="15.75" customHeight="1" x14ac:dyDescent="0.35">
      <c r="A20" s="38" t="str">
        <f>CONCATENATE("locsdo:","cell/",ROWS(A$8:A20))</f>
        <v>locsdo:cell/13</v>
      </c>
      <c r="B20" s="19" t="s">
        <v>25</v>
      </c>
      <c r="C20" s="20" t="s">
        <v>40</v>
      </c>
      <c r="D20" s="21"/>
      <c r="E20" s="46"/>
      <c r="F20" s="21"/>
      <c r="G20" s="47"/>
      <c r="H20" s="21"/>
      <c r="I20" s="54"/>
    </row>
    <row r="21" spans="1:9" ht="15.75" customHeight="1" x14ac:dyDescent="0.35">
      <c r="A21" s="38" t="str">
        <f>CONCATENATE("locsdo:","cell/",ROWS(A$8:A21))</f>
        <v>locsdo:cell/14</v>
      </c>
      <c r="B21" s="19" t="s">
        <v>25</v>
      </c>
      <c r="C21" s="20" t="s">
        <v>41</v>
      </c>
      <c r="D21" s="22"/>
      <c r="E21" s="46"/>
      <c r="F21" s="16"/>
      <c r="G21" s="42"/>
      <c r="H21" s="56"/>
      <c r="I21" s="54"/>
    </row>
    <row r="22" spans="1:9" ht="15.75" customHeight="1" x14ac:dyDescent="0.35">
      <c r="A22" s="38" t="str">
        <f>CONCATENATE("locsdo:","cell/",ROWS(A$8:A22))</f>
        <v>locsdo:cell/15</v>
      </c>
      <c r="B22" s="19" t="s">
        <v>25</v>
      </c>
      <c r="C22" s="20" t="s">
        <v>42</v>
      </c>
      <c r="D22" s="48"/>
      <c r="E22" s="46"/>
      <c r="F22" s="21"/>
      <c r="G22" s="47"/>
      <c r="H22" s="21"/>
      <c r="I22" s="54"/>
    </row>
    <row r="23" spans="1:9" ht="15.75" customHeight="1" x14ac:dyDescent="0.35">
      <c r="A23" s="38" t="str">
        <f>CONCATENATE("locsdo:","cell/",ROWS(A$8:A23))</f>
        <v>locsdo:cell/16</v>
      </c>
      <c r="B23" s="19" t="s">
        <v>25</v>
      </c>
      <c r="C23" s="20" t="s">
        <v>43</v>
      </c>
      <c r="D23" s="21"/>
      <c r="E23" s="46"/>
      <c r="F23" s="21"/>
      <c r="G23" s="47"/>
      <c r="H23" s="21"/>
      <c r="I23" s="54"/>
    </row>
    <row r="24" spans="1:9" ht="15.75" customHeight="1" x14ac:dyDescent="0.35">
      <c r="A24" s="38" t="str">
        <f>CONCATENATE("locsdo:","cell/",ROWS(A$8:A24))</f>
        <v>locsdo:cell/17</v>
      </c>
      <c r="B24" s="19" t="s">
        <v>25</v>
      </c>
      <c r="C24" s="61" t="s">
        <v>98</v>
      </c>
      <c r="D24" s="21"/>
      <c r="E24" s="46"/>
      <c r="F24" s="21"/>
      <c r="G24" s="21"/>
      <c r="H24" s="21"/>
      <c r="I24" s="54"/>
    </row>
    <row r="25" spans="1:9" ht="15.75" customHeight="1" x14ac:dyDescent="0.35">
      <c r="A25" s="38" t="str">
        <f>CONCATENATE("locsdo:","cell/",ROWS(A$8:A25))</f>
        <v>locsdo:cell/18</v>
      </c>
      <c r="B25" s="19" t="s">
        <v>25</v>
      </c>
      <c r="C25" s="20" t="s">
        <v>44</v>
      </c>
      <c r="D25" s="24"/>
      <c r="E25" s="25"/>
      <c r="F25" s="21"/>
      <c r="G25" s="56"/>
      <c r="H25" s="56"/>
      <c r="I25" s="55" t="s">
        <v>79</v>
      </c>
    </row>
    <row r="26" spans="1:9" ht="15.75" customHeight="1" x14ac:dyDescent="0.35">
      <c r="A26" s="38" t="str">
        <f>CONCATENATE("locsdo:","cell/",ROWS(A$8:A26))</f>
        <v>locsdo:cell/19</v>
      </c>
      <c r="B26" s="19" t="s">
        <v>25</v>
      </c>
      <c r="C26" s="21" t="s">
        <v>49</v>
      </c>
      <c r="D26" s="21"/>
      <c r="E26" s="46"/>
      <c r="F26" s="21"/>
      <c r="G26" s="47"/>
      <c r="H26" s="21"/>
      <c r="I26" s="54"/>
    </row>
    <row r="27" spans="1:9" ht="15.75" customHeight="1" x14ac:dyDescent="0.35">
      <c r="A27" s="38" t="str">
        <f>CONCATENATE("locsdo:","cell/",ROWS(A$8:A27))</f>
        <v>locsdo:cell/20</v>
      </c>
      <c r="B27" s="19" t="s">
        <v>25</v>
      </c>
      <c r="C27" s="21" t="s">
        <v>50</v>
      </c>
      <c r="D27" s="21"/>
      <c r="E27" s="46"/>
      <c r="F27" s="21"/>
      <c r="G27" s="47"/>
      <c r="H27" s="21"/>
      <c r="I27" s="54"/>
    </row>
    <row r="28" spans="1:9" ht="15.75" customHeight="1" x14ac:dyDescent="0.35">
      <c r="A28" s="38" t="str">
        <f>CONCATENATE("locsdo:","cell/",ROWS(A$8:A28))</f>
        <v>locsdo:cell/21</v>
      </c>
      <c r="B28" s="19" t="s">
        <v>25</v>
      </c>
      <c r="C28" s="21" t="s">
        <v>51</v>
      </c>
      <c r="D28" s="48"/>
      <c r="E28" s="46"/>
      <c r="F28" s="21"/>
      <c r="G28" s="47"/>
      <c r="H28" s="21"/>
      <c r="I28" s="54"/>
    </row>
    <row r="29" spans="1:9" ht="15.75" customHeight="1" x14ac:dyDescent="0.35">
      <c r="A29" s="38" t="str">
        <f>CONCATENATE("locsdo:","cell/",ROWS(A$8:A29))</f>
        <v>locsdo:cell/22</v>
      </c>
      <c r="B29" s="19" t="s">
        <v>25</v>
      </c>
      <c r="C29" s="20" t="s">
        <v>45</v>
      </c>
      <c r="D29" s="48"/>
      <c r="E29" s="46"/>
      <c r="F29" s="21"/>
      <c r="G29" s="47"/>
      <c r="H29" s="21"/>
      <c r="I29" s="54"/>
    </row>
    <row r="30" spans="1:9" ht="15.75" customHeight="1" x14ac:dyDescent="0.35">
      <c r="A30" s="23" t="str">
        <f>CONCATENATE("locsdo:","cell/",ROWS(A$8:A30))</f>
        <v>locsdo:cell/23</v>
      </c>
      <c r="B30" s="19" t="s">
        <v>25</v>
      </c>
      <c r="C30" s="20" t="s">
        <v>46</v>
      </c>
      <c r="D30" s="24" t="s">
        <v>80</v>
      </c>
      <c r="E30" s="25" t="s">
        <v>26</v>
      </c>
      <c r="F30" s="16">
        <v>1</v>
      </c>
      <c r="G30" s="45" t="s">
        <v>60</v>
      </c>
      <c r="H30" s="56" t="s">
        <v>91</v>
      </c>
      <c r="I30" s="55" t="s">
        <v>81</v>
      </c>
    </row>
    <row r="31" spans="1:9" ht="15.75" customHeight="1" x14ac:dyDescent="0.35">
      <c r="A31" s="23" t="str">
        <f>CONCATENATE("locsdo:","cell/",ROWS(A$8:A31))</f>
        <v>locsdo:cell/24</v>
      </c>
      <c r="B31" s="19" t="s">
        <v>25</v>
      </c>
      <c r="C31" s="20" t="s">
        <v>47</v>
      </c>
      <c r="D31" s="24" t="s">
        <v>82</v>
      </c>
      <c r="E31" s="25" t="s">
        <v>26</v>
      </c>
      <c r="F31" s="16">
        <v>1</v>
      </c>
      <c r="G31" s="45" t="s">
        <v>60</v>
      </c>
      <c r="H31" s="56" t="s">
        <v>91</v>
      </c>
      <c r="I31" s="55" t="s">
        <v>81</v>
      </c>
    </row>
    <row r="32" spans="1:9" ht="15.75" customHeight="1" x14ac:dyDescent="0.35">
      <c r="A32" s="38" t="str">
        <f>CONCATENATE("locsdo:","cell/",ROWS(A$8:A32))</f>
        <v>locsdo:cell/25</v>
      </c>
      <c r="B32" s="19" t="s">
        <v>25</v>
      </c>
      <c r="C32" s="20" t="s">
        <v>48</v>
      </c>
      <c r="D32" s="24"/>
      <c r="E32" s="46"/>
      <c r="F32" s="21"/>
      <c r="G32" s="47"/>
      <c r="H32" s="21"/>
      <c r="I32" s="54"/>
    </row>
    <row r="33" spans="1:9" ht="15.75" customHeight="1" x14ac:dyDescent="0.35">
      <c r="A33" s="23" t="str">
        <f>CONCATENATE("locsdo:","cell/",ROWS(A$8:A33))</f>
        <v>locsdo:cell/26</v>
      </c>
      <c r="B33" s="19" t="s">
        <v>25</v>
      </c>
      <c r="C33" s="20" t="s">
        <v>57</v>
      </c>
      <c r="D33" s="22" t="s">
        <v>71</v>
      </c>
      <c r="E33" s="25" t="s">
        <v>26</v>
      </c>
      <c r="F33" s="16">
        <v>1</v>
      </c>
      <c r="G33" s="42" t="s">
        <v>27</v>
      </c>
      <c r="H33" s="56" t="s">
        <v>91</v>
      </c>
      <c r="I33" s="54"/>
    </row>
    <row r="34" spans="1:9" ht="15.75" customHeight="1" x14ac:dyDescent="0.35">
      <c r="A34" s="38" t="str">
        <f>CONCATENATE("locsdo:","cell/",ROWS(A$8:A34))</f>
        <v>locsdo:cell/27</v>
      </c>
      <c r="B34" s="19" t="s">
        <v>25</v>
      </c>
      <c r="C34" s="20" t="s">
        <v>58</v>
      </c>
      <c r="D34" s="24"/>
      <c r="E34" s="46"/>
      <c r="F34" s="21"/>
      <c r="G34" s="47"/>
      <c r="H34" s="21"/>
      <c r="I34" s="54"/>
    </row>
    <row r="35" spans="1:9" ht="15.75" customHeight="1" x14ac:dyDescent="0.35">
      <c r="A35" s="23" t="str">
        <f>CONCATENATE("locsdo:","cell/",ROWS(A$8:A35))</f>
        <v>locsdo:cell/28</v>
      </c>
      <c r="B35" s="19" t="s">
        <v>25</v>
      </c>
      <c r="C35" s="20" t="s">
        <v>59</v>
      </c>
      <c r="D35" s="22" t="s">
        <v>72</v>
      </c>
      <c r="E35" s="25" t="s">
        <v>55</v>
      </c>
      <c r="F35" s="16">
        <v>1</v>
      </c>
      <c r="G35" s="45" t="s">
        <v>56</v>
      </c>
      <c r="H35" s="56" t="s">
        <v>91</v>
      </c>
      <c r="I35" s="54"/>
    </row>
    <row r="36" spans="1:9" ht="15.75" customHeight="1" x14ac:dyDescent="0.35">
      <c r="A36" s="38" t="str">
        <f>CONCATENATE("locsdo:","cell/",ROWS(A$8:A36))</f>
        <v>locsdo:cell/29</v>
      </c>
      <c r="B36" s="19" t="s">
        <v>25</v>
      </c>
      <c r="C36" s="20" t="s">
        <v>52</v>
      </c>
      <c r="D36" s="24"/>
      <c r="E36" s="46"/>
      <c r="F36" s="21"/>
      <c r="G36" s="47"/>
      <c r="H36" s="21"/>
      <c r="I36" s="54"/>
    </row>
    <row r="37" spans="1:9" ht="15.75" customHeight="1" x14ac:dyDescent="0.35">
      <c r="A37" s="23" t="str">
        <f>CONCATENATE("locsdo:","cell/",ROWS(A$8:A37))</f>
        <v>locsdo:cell/30</v>
      </c>
      <c r="B37" s="19" t="s">
        <v>25</v>
      </c>
      <c r="C37" s="18" t="s">
        <v>96</v>
      </c>
      <c r="D37" s="24" t="s">
        <v>83</v>
      </c>
      <c r="E37" s="25" t="s">
        <v>55</v>
      </c>
      <c r="F37" s="16">
        <v>1</v>
      </c>
      <c r="G37" s="45" t="s">
        <v>56</v>
      </c>
      <c r="H37" s="56" t="s">
        <v>91</v>
      </c>
      <c r="I37" s="55" t="s">
        <v>84</v>
      </c>
    </row>
    <row r="38" spans="1:9" ht="15.75" customHeight="1" x14ac:dyDescent="0.35">
      <c r="A38" s="23" t="str">
        <f>CONCATENATE("locsdo:","cell/",ROWS(A$8:A38))</f>
        <v>locsdo:cell/31</v>
      </c>
      <c r="B38" s="19" t="s">
        <v>25</v>
      </c>
      <c r="C38" s="20" t="s">
        <v>53</v>
      </c>
      <c r="D38" s="22" t="s">
        <v>73</v>
      </c>
      <c r="E38" s="25" t="s">
        <v>26</v>
      </c>
      <c r="F38" s="16">
        <v>1</v>
      </c>
      <c r="G38" s="45" t="s">
        <v>60</v>
      </c>
      <c r="H38" s="56" t="s">
        <v>91</v>
      </c>
      <c r="I38" s="54"/>
    </row>
    <row r="39" spans="1:9" ht="15.75" customHeight="1" x14ac:dyDescent="0.35">
      <c r="A39" s="23" t="str">
        <f>CONCATENATE("locsdo:","cell/",ROWS(A$8:A39))</f>
        <v>locsdo:cell/32</v>
      </c>
      <c r="B39" s="19" t="s">
        <v>25</v>
      </c>
      <c r="C39" s="24" t="s">
        <v>97</v>
      </c>
      <c r="D39" s="24" t="s">
        <v>77</v>
      </c>
      <c r="E39" s="25" t="s">
        <v>55</v>
      </c>
      <c r="F39" s="16">
        <v>1</v>
      </c>
      <c r="G39" s="45" t="s">
        <v>56</v>
      </c>
      <c r="H39" s="56" t="s">
        <v>91</v>
      </c>
      <c r="I39" s="55" t="s">
        <v>85</v>
      </c>
    </row>
    <row r="40" spans="1:9" ht="15.75" customHeight="1" x14ac:dyDescent="0.35">
      <c r="A40" s="62" t="str">
        <f>CONCATENATE("locsdo:","cell/",ROWS(A$8:A40))</f>
        <v>locsdo:cell/33</v>
      </c>
      <c r="B40" s="63" t="s">
        <v>25</v>
      </c>
      <c r="C40" s="64" t="s">
        <v>54</v>
      </c>
      <c r="D40" s="65" t="s">
        <v>83</v>
      </c>
      <c r="E40" s="66" t="s">
        <v>55</v>
      </c>
      <c r="F40" s="67">
        <v>1</v>
      </c>
      <c r="G40" s="68" t="s">
        <v>56</v>
      </c>
      <c r="H40" s="69" t="s">
        <v>91</v>
      </c>
      <c r="I40" s="70" t="s">
        <v>81</v>
      </c>
    </row>
    <row r="41" spans="1:9" ht="15.75" customHeight="1" x14ac:dyDescent="0.35">
      <c r="A41" s="38" t="str">
        <f>CONCATENATE("locsdo:","cell/",ROWS(A$8:A41))</f>
        <v>locsdo:cell/34</v>
      </c>
      <c r="B41" s="19" t="s">
        <v>25</v>
      </c>
      <c r="C41" s="18" t="s">
        <v>99</v>
      </c>
      <c r="D41" s="18"/>
      <c r="E41" s="71"/>
      <c r="F41" s="18"/>
      <c r="G41" s="18"/>
      <c r="H41" s="18"/>
      <c r="I41" s="18"/>
    </row>
    <row r="42" spans="1:9" ht="15.75" customHeight="1" x14ac:dyDescent="0.35">
      <c r="A42" s="38" t="str">
        <f>CONCATENATE("locsdo:","cell/",ROWS(A$8:A42))</f>
        <v>locsdo:cell/35</v>
      </c>
      <c r="B42" s="19" t="s">
        <v>25</v>
      </c>
      <c r="C42" s="18" t="s">
        <v>100</v>
      </c>
      <c r="D42" s="18"/>
      <c r="E42" s="71"/>
      <c r="F42" s="18"/>
      <c r="G42" s="18"/>
      <c r="H42" s="18"/>
      <c r="I42" s="18"/>
    </row>
    <row r="43" spans="1:9" ht="15.75" customHeight="1" x14ac:dyDescent="0.35">
      <c r="A43" s="38" t="str">
        <f>CONCATENATE("locsdo:","cell/",ROWS(A$8:A43))</f>
        <v>locsdo:cell/36</v>
      </c>
      <c r="B43" s="19" t="s">
        <v>25</v>
      </c>
      <c r="C43" s="18" t="s">
        <v>101</v>
      </c>
      <c r="D43" s="18"/>
      <c r="E43" s="71"/>
      <c r="F43" s="18"/>
      <c r="G43" s="18"/>
      <c r="H43" s="18"/>
      <c r="I43" s="18"/>
    </row>
  </sheetData>
  <hyperlinks>
    <hyperlink ref="C2" r:id="rId1" xr:uid="{00000000-0004-0000-0100-000001000000}"/>
    <hyperlink ref="C3" r:id="rId2" xr:uid="{EA148A60-D61E-4C6B-846A-E9137506227D}"/>
    <hyperlink ref="B1" r:id="rId3" xr:uid="{7BFF306B-C2C3-4572-8862-249B438882A3}"/>
    <hyperlink ref="D8" r:id="rId4" display="http://schema.org/PostalAddress" xr:uid="{E3DD677D-4103-41A5-9D76-03B57E43645E}"/>
    <hyperlink ref="D10" r:id="rId5" display="http://schema.org/identifier" xr:uid="{8EC61A30-DD5A-4338-863B-53BF26A08B33}"/>
    <hyperlink ref="D11" r:id="rId6" display="http://schema.org/addressCountry" xr:uid="{1F2F4FAF-496D-43A6-B446-B84A914637F6}"/>
    <hyperlink ref="D12" r:id="rId7" display="http://schema.org/addressRegion" xr:uid="{9722CB4B-FE0F-4CEA-9057-3894A7C8935E}"/>
    <hyperlink ref="D14" r:id="rId8" display="http://schema.org/streetAddress" xr:uid="{0FAD4D27-0736-4368-9A59-E6B6DFD8A4B9}"/>
    <hyperlink ref="D35" r:id="rId9" display="http://schema.org/name" xr:uid="{1C298DFF-5DEA-4CF0-BDE1-0BA94D8A9815}"/>
    <hyperlink ref="D38" r:id="rId10" display="http://schema.org/geo" xr:uid="{A9E94194-5145-4F0D-AFF8-3C5438D4E7AE}"/>
    <hyperlink ref="D33" r:id="rId11" display="http://schema.org/Place" xr:uid="{B57FFD20-B522-49F8-B1FE-BEC12662E2EF}"/>
    <hyperlink ref="D16" r:id="rId12" display="http://schema.org/postOfficeBoxNumber" xr:uid="{4D62FCF6-68B4-44A4-AFD2-C8F6CA8DB006}"/>
    <hyperlink ref="D17" r:id="rId13" display="http://schema.org/postalCode" xr:uid="{69225E6A-8998-4640-BF89-F6B0D4853C16}"/>
    <hyperlink ref="D18" r:id="rId14" display="http://schema.org/addressLocality" xr:uid="{D29FA7D9-2219-4494-9D4D-CF2CDF788B00}"/>
    <hyperlink ref="D19" r:id="rId15" display="http://schema.org/streetAddress" xr:uid="{4453F5CF-EEAE-4AED-AB52-9890BBD8B1FC}"/>
    <hyperlink ref="D9" r:id="rId16" display="http://schema.org/addressLocality" xr:uid="{C43FC77F-100B-403D-BDFD-762B335258DA}"/>
    <hyperlink ref="D13" r:id="rId17" xr:uid="{378D7DFA-CB7D-4F7A-8B95-7F48C97BECDA}"/>
    <hyperlink ref="D30" r:id="rId18" xr:uid="{B73ADD5F-D728-47B2-BD80-0C70560DB8C5}"/>
    <hyperlink ref="D31" r:id="rId19" xr:uid="{B707FA30-17F7-4040-930B-435C241B4966}"/>
    <hyperlink ref="D37" r:id="rId20" xr:uid="{E86F38E9-322B-4820-A4CB-F321E9F90251}"/>
    <hyperlink ref="D39" r:id="rId21" xr:uid="{A16A6E4E-2409-4C90-9170-734BC8D7BB5F}"/>
    <hyperlink ref="D40" r:id="rId22" xr:uid="{4CB382F1-056B-459C-AE47-4905DCF61943}"/>
    <hyperlink ref="C4" r:id="rId23" xr:uid="{A492FB7B-A4B8-4B4E-B125-F388D39CD3D5}"/>
    <hyperlink ref="C5" r:id="rId24" xr:uid="{D9A894F7-DB85-4079-9539-6F33F4DBE2DB}"/>
    <hyperlink ref="C39" r:id="rId25" location="location" xr:uid="{A2D24A35-F6DB-4A51-9EDD-33D0D8C8C2EE}"/>
    <hyperlink ref="C24" r:id="rId26" location="label" xr:uid="{B90C3164-2EC9-49E3-8B24-E6391C44A07F}"/>
  </hyperlinks>
  <pageMargins left="0.7" right="0.7" top="0.75" bottom="0.75" header="0.3" footer="0.3"/>
  <pageSetup paperSize="9" orientation="portrait" verticalDpi="0" r:id="rId2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2024-03-12T13:39:52Z</dcterms:modified>
</cp:coreProperties>
</file>