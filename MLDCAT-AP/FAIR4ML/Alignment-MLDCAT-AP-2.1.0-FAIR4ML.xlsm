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ani002\Documents\GitHub\SEMIC-Semantic-Mappings\MLDCAT-AP\"/>
    </mc:Choice>
  </mc:AlternateContent>
  <xr:revisionPtr revIDLastSave="0" documentId="8_{04FBCB25-AD99-47BE-BFF7-C20E726E2FC8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2" l="1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11" i="2"/>
  <c r="E16" i="1" a="1"/>
  <c r="E1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<sst xmlns="http://schemas.openxmlformats.org/spreadsheetml/2006/main" count="1480" uniqueCount="869">
  <si>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</si>
  <si>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</si>
  <si>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</si>
  <si>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</si>
  <si>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</si>
  <si>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</si>
  <si>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</si>
  <si>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</si>
  <si>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</si>
  <si>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</si>
  <si>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</si>
  <si>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</si>
  <si>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</si>
  <si>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</si>
  <si>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</si>
  <si>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</si>
  <si>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</si>
  <si>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</si>
  <si>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</si>
  <si>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</si>
  <si>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</si>
  <si>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</si>
  <si>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</si>
  <si>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</si>
  <si>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</si>
  <si>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dct:publisher</t>
  </si>
  <si>
    <t>rdfs:comment</t>
  </si>
  <si>
    <t>sssom:mapping_justification</t>
  </si>
  <si>
    <t>semapv</t>
  </si>
  <si>
    <t>https://w3id.org/semapv/vocab/</t>
  </si>
  <si>
    <t>owl:annotatedProperty</t>
  </si>
  <si>
    <t>http://xmlns.com/foaf/0.1/Agent</t>
  </si>
  <si>
    <t>http://www.w3.org/ns/mls#Algorithm</t>
  </si>
  <si>
    <t>http://www.w3.org/ns/dcat#Catalog</t>
  </si>
  <si>
    <t>http://www.w3.org/ns/dcat#Dataset</t>
  </si>
  <si>
    <t>http://www.w3.org/ns/dcat#Distribution</t>
  </si>
  <si>
    <t>https://linkedpaperswithcode.com/class/paper</t>
  </si>
  <si>
    <t>http://www.w3.org/ns/dqv#QualityMeasurement</t>
  </si>
  <si>
    <t>http://purl.org/spar/biro/BibliographicReference</t>
  </si>
  <si>
    <t>http://www.w3.org/ns/dcat#CatalogRecord</t>
  </si>
  <si>
    <t>http://www.w3.org/ns/dcat#Resource</t>
  </si>
  <si>
    <t>http://spdx.org/rdf/terms#Checksum</t>
  </si>
  <si>
    <t>http://spdx.org/rdf/terms#ChecksumAlgorithm</t>
  </si>
  <si>
    <t>http://www.w3.org/2004/02/skos/core#Concept</t>
  </si>
  <si>
    <t>http://www.w3.org/ns/dcat#DataService</t>
  </si>
  <si>
    <t>http://xmlns.com/foaf/0.1/Document</t>
  </si>
  <si>
    <t>http://data.europa.eu/m8g/ImageObject</t>
  </si>
  <si>
    <t>http://purl.org/dc/terms/LicenseDocument</t>
  </si>
  <si>
    <t>http://purl.org/dc/terms/LinguisticSystem</t>
  </si>
  <si>
    <t>http://purl.org/dc/terms/MediaTypeOrExtent</t>
  </si>
  <si>
    <t>http://www.w3.org/ns/odrl/2/Policy</t>
  </si>
  <si>
    <t>http://www.w3.org/ns/dqv#QualityMeasurementDataset</t>
  </si>
  <si>
    <t>https://linkedpaperswithcode.com/class/repository</t>
  </si>
  <si>
    <t>http://www.w3.org/2000/01/rdf-schema#Resource</t>
  </si>
  <si>
    <t>http://purl.org/dc/terms/RightsStatement</t>
  </si>
  <si>
    <t>=</t>
  </si>
  <si>
    <t>&lt;</t>
  </si>
  <si>
    <t>rdfs:subPropertyOf</t>
  </si>
  <si>
    <t>http://purl.org/dc/terms/accessRights</t>
  </si>
  <si>
    <t>http://purl.org/dc/terms/contributor</t>
  </si>
  <si>
    <t>http://purl.org/dc/terms/creator</t>
  </si>
  <si>
    <t>http://purl.org/dc/terms/description</t>
  </si>
  <si>
    <t>http://www.w3.org/ns/dcat#distribution</t>
  </si>
  <si>
    <t>http://purl.org/dc/terms/identifier</t>
  </si>
  <si>
    <t>http://purl.org/dc/terms/isReferencedBy</t>
  </si>
  <si>
    <t>http://purl.org/dc/terms/isVersionOf</t>
  </si>
  <si>
    <t>http://purl.org/dc/terms/issued</t>
  </si>
  <si>
    <t>http://www.w3.org/ns/dcat#keyword</t>
  </si>
  <si>
    <t>http://www.w3.org/ns/dcat#landingPage</t>
  </si>
  <si>
    <t>http://purl.org/dc/terms/publisher</t>
  </si>
  <si>
    <t>http://www.w3.org/ns/adms#status</t>
  </si>
  <si>
    <t>http://purl.org/dc/terms/title</t>
  </si>
  <si>
    <t>http://www.w3.org/2002/07/owl#versionInfo</t>
  </si>
  <si>
    <t>owl:equivalentProperty</t>
  </si>
  <si>
    <t>http://www.w3.org/ns/dcat#accessService</t>
  </si>
  <si>
    <t>http://www.w3.org/ns/dcat#accessURL</t>
  </si>
  <si>
    <t>http://www.w3.org/ns/dcat#byteSize</t>
  </si>
  <si>
    <t>http://spdx.org/rdf/terms#checksum</t>
  </si>
  <si>
    <t>http://www.w3.org/ns/dcat#downloadURL</t>
  </si>
  <si>
    <t>http://purl.org/dc/terms/format</t>
  </si>
  <si>
    <t>http://www.w3.org/ns/odrl/2/hasPolicy</t>
  </si>
  <si>
    <t>http://www.w3.org/ns/dqv#hasQualityMeasurement</t>
  </si>
  <si>
    <t>http://purl.org/dc/terms/language</t>
  </si>
  <si>
    <t>http://purl.org/dc/terms/license</t>
  </si>
  <si>
    <t>http://purl.org/dc/terms/type</t>
  </si>
  <si>
    <t>http://www.w3.org/2000/01/rdf-schema#Literal</t>
  </si>
  <si>
    <t>http://www.w3.org/2001/XMLSchema#hexBinary</t>
  </si>
  <si>
    <t>http://www.w3.org/2001/XMLSchema#integer</t>
  </si>
  <si>
    <t>http://www.w3.org/2001/XMLSchema#nonNegativeInteger</t>
  </si>
  <si>
    <t>http://purl.org/dc/terms/bibliographicCitation</t>
  </si>
  <si>
    <t>http://purl.org/dc/terms/references</t>
  </si>
  <si>
    <t>http://xmlns.com/foaf/0.1/homepage</t>
  </si>
  <si>
    <t>http://purl.org/dc/terms/modified</t>
  </si>
  <si>
    <t>http://www.w3.org/ns/dcat#dataset</t>
  </si>
  <si>
    <t>http://www.w3.org/ns/dcat#record</t>
  </si>
  <si>
    <t>http://www.w3.org/ns/dcat#service</t>
  </si>
  <si>
    <t>http://data.europa.eu/it6/descriptionVersion</t>
  </si>
  <si>
    <t>http://xmlns.com/foaf/0.1/primaryTopic</t>
  </si>
  <si>
    <t>http://www.w3.org/ns/dcat#endpointURL</t>
  </si>
  <si>
    <t>http://www.w3.org/ns/dcat#servesDataset</t>
  </si>
  <si>
    <t>http://data.europa.eu/it6/collectionDate</t>
  </si>
  <si>
    <t>http://data.europa.eu/it6/collectionMethod</t>
  </si>
  <si>
    <t>http://data.europa.eu/it6/versionLabel</t>
  </si>
  <si>
    <t>http://data.europa.eu/it6/visibility</t>
  </si>
  <si>
    <t>http://www.w3.org/ns/dcat#hasVersion</t>
  </si>
  <si>
    <t>http://data.europa.eu/it6/defaultTargetAttribute</t>
  </si>
  <si>
    <t>http://data.europa.eu/it6/ignoreAttribute</t>
  </si>
  <si>
    <t>http://purl.org/dc/terms/MediaType</t>
  </si>
  <si>
    <t>http://data.europa.eu/it6/numberOfDatapoints</t>
  </si>
  <si>
    <t>http://data.europa.eu/it6/processingDate</t>
  </si>
  <si>
    <t>http://data.europa.eu/it6/processingError</t>
  </si>
  <si>
    <t>http://data.europa.eu/it6/processingWarning</t>
  </si>
  <si>
    <t>http://data.europa.eu/it6/rowIDAttribute</t>
  </si>
  <si>
    <t>http://data.europa.eu/it6/hasFeature</t>
  </si>
  <si>
    <t>http://data.europa.eu/it6/intervalEnd</t>
  </si>
  <si>
    <t>http://data.europa.eu/it6/intervalStart</t>
  </si>
  <si>
    <t>http://www.w3.org/ns/dqv#value</t>
  </si>
  <si>
    <t>http://purl.org/linked-data/cube#dataSet</t>
  </si>
  <si>
    <t>http://data.europa.eu/it6/featureIndex</t>
  </si>
  <si>
    <t>http://xmlns.com/foaf/0.1/name</t>
  </si>
  <si>
    <t>http://data.europa.eu/it6/Benchmark</t>
  </si>
  <si>
    <t>http://data.europa.eu/it6/Collection</t>
  </si>
  <si>
    <t>http://data.europa.eu/it6/creationDate</t>
  </si>
  <si>
    <t>http://data.europa.eu/it6/hasUploader</t>
  </si>
  <si>
    <t>http://data.europa.eu/it6/ComputerInfrastructure</t>
  </si>
  <si>
    <t>http://data.europa.eu/it6/hasHardware</t>
  </si>
  <si>
    <t>http://data.europa.eu/it6/hasLibrary</t>
  </si>
  <si>
    <t>http://data.europa.eu/it6/CostMatrix</t>
  </si>
  <si>
    <t>http://data.europa.eu/it6/DataQuality</t>
  </si>
  <si>
    <t>http://data.europa.eu/it6/Engagement</t>
  </si>
  <si>
    <t>http://data.europa.eu/it6/download</t>
  </si>
  <si>
    <t>http://data.europa.eu/it6/like</t>
  </si>
  <si>
    <t>http://data.europa.eu/it6/EnvironmentalImpact</t>
  </si>
  <si>
    <t>http://data.europa.eu/it6/carbonEmitted</t>
  </si>
  <si>
    <t>http://data.europa.eu/it6/powerConsumption</t>
  </si>
  <si>
    <t>http://data.europa.eu/it6/EstimationProcedure</t>
  </si>
  <si>
    <t>http://data.europa.eu/it6/dataSplitsURL</t>
  </si>
  <si>
    <t>http://data.europa.eu/it6/hasParameter</t>
  </si>
  <si>
    <t>http://data.europa.eu/it6/Evaluation</t>
  </si>
  <si>
    <t>http://data.europa.eu/it6/arrayData</t>
  </si>
  <si>
    <t>http://data.europa.eu/it6/fold</t>
  </si>
  <si>
    <t>http://www.w3.org/2000/01/rdf-schema#label</t>
  </si>
  <si>
    <t>http://data.europa.eu/it6/repeat</t>
  </si>
  <si>
    <t>http://data.europa.eu/it6/sample</t>
  </si>
  <si>
    <t>http://data.europa.eu/it6/sampleSize</t>
  </si>
  <si>
    <t>http://data.europa.eu/it6/stdev</t>
  </si>
  <si>
    <t>http://data.europa.eu/it6/value</t>
  </si>
  <si>
    <t>http://data.europa.eu/it6/hasFlow</t>
  </si>
  <si>
    <t>http://data.europa.eu/it6/EvaluationMeasure</t>
  </si>
  <si>
    <t>http://data.europa.eu/it6/implementation</t>
  </si>
  <si>
    <t>http://data.europa.eu/it6/valueBad</t>
  </si>
  <si>
    <t>http://data.europa.eu/it6/valueGood</t>
  </si>
  <si>
    <t>http://data.europa.eu/it6/Feature</t>
  </si>
  <si>
    <t>http://data.europa.eu/it6/OutputFilePrediction</t>
  </si>
  <si>
    <t>http://data.europa.eu/it6/url</t>
  </si>
  <si>
    <t>http://data.europa.eu/it6/Flow</t>
  </si>
  <si>
    <t>http://data.europa.eu/it6/className</t>
  </si>
  <si>
    <t>http://data.europa.eu/it6/customName</t>
  </si>
  <si>
    <t>http://data.europa.eu/it6/externalVersion</t>
  </si>
  <si>
    <t>http://data.europa.eu/it6/uploaded</t>
  </si>
  <si>
    <t>http://data.europa.eu/it6/version</t>
  </si>
  <si>
    <t>http://data.europa.eu/it6/hasDependency</t>
  </si>
  <si>
    <t>http://data.europa.eu/it6/hasFlowParameter</t>
  </si>
  <si>
    <t>http://data.europa.eu/it6/FlowParameter</t>
  </si>
  <si>
    <t>http://data.europa.eu/it6/defaultValue</t>
  </si>
  <si>
    <t>http://data.europa.eu/it6/recommendedRange</t>
  </si>
  <si>
    <t>http://data.europa.eu/it6/Hardware</t>
  </si>
  <si>
    <t>http://data.europa.eu/it6/Library</t>
  </si>
  <si>
    <t>http://data.europa.eu/it6/isExecutedBy</t>
  </si>
  <si>
    <t>http://data.europa.eu/it6/MachineLearningModel</t>
  </si>
  <si>
    <t>http://data.europa.eu/it6/bias</t>
  </si>
  <si>
    <t>http://purl.org/dc/terms/created</t>
  </si>
  <si>
    <t>http://data.europa.eu/it6/evaluationResults</t>
  </si>
  <si>
    <t>http://data.europa.eu/it6/evaluationStrategies</t>
  </si>
  <si>
    <t>http://data.europa.eu/it6/howToUse</t>
  </si>
  <si>
    <t>http://data.europa.eu/it6/intendedUse</t>
  </si>
  <si>
    <t>http://data.europa.eu/it6/limitations</t>
  </si>
  <si>
    <t>http://data.europa.eu/it6/releaseDate</t>
  </si>
  <si>
    <t>http://data.europa.eu/it6/shortDescription</t>
  </si>
  <si>
    <t>http://data.europa.eu/it6/testingDescription</t>
  </si>
  <si>
    <t>http://data.europa.eu/it6/trainingMethodologies</t>
  </si>
  <si>
    <t>http://data.europa.eu/it6/trainingProcess</t>
  </si>
  <si>
    <t>http://data.europa.eu/it6/fineTunedFrom</t>
  </si>
  <si>
    <t>http://data.europa.eu/it6/hasBenchmark</t>
  </si>
  <si>
    <t>http://data.europa.eu/it6/hasBibliographicReference</t>
  </si>
  <si>
    <t>http://data.europa.eu/it6/hasEngagement</t>
  </si>
  <si>
    <t>http://data.europa.eu/it6/hasOutputFilePrediction</t>
  </si>
  <si>
    <t>http://data.europa.eu/it6/hasPrediction</t>
  </si>
  <si>
    <t>http://data.europa.eu/it6/hasProvider</t>
  </si>
  <si>
    <t>http://data.europa.eu/it6/haRegisteredUser</t>
  </si>
  <si>
    <t>http://data.europa.eu/it6/hasRepository</t>
  </si>
  <si>
    <t>http://data.europa.eu/it6/hasRisk</t>
  </si>
  <si>
    <t>http://data.europa.eu/it6/hasVariation</t>
  </si>
  <si>
    <t>http://data.europa.eu/m8g/logo</t>
  </si>
  <si>
    <t>http://data.europa.eu/it6/runnedOn</t>
  </si>
  <si>
    <t>http://data.europa.eu/it6/testedOn</t>
  </si>
  <si>
    <t>http://data.europa.eu/it6/trainedOn</t>
  </si>
  <si>
    <t>http://data.europa.eu/it6/validatedOn</t>
  </si>
  <si>
    <t>http://data.europa.eu/it6/Measure</t>
  </si>
  <si>
    <t>http://data.europa.eu/it6/OutputFileDescription</t>
  </si>
  <si>
    <t>http://data.europa.eu/it6/Parameter</t>
  </si>
  <si>
    <t>http://data.europa.eu/it6/component</t>
  </si>
  <si>
    <t>http://data.europa.eu/it6/Prediction</t>
  </si>
  <si>
    <t>http://data.europa.eu/it6/hasPredictionFeature</t>
  </si>
  <si>
    <t>http://data.europa.eu/it6/PredictionFeature</t>
  </si>
  <si>
    <t>http://data.europa.eu/it6/evaluationEngine</t>
  </si>
  <si>
    <t>http://data.europa.eu/it6/Risk</t>
  </si>
  <si>
    <t>http://data.europa.eu/it6/mitigation</t>
  </si>
  <si>
    <t>http://data.europa.eu/it6/nature</t>
  </si>
  <si>
    <t>http://data.europa.eu/it6/probability</t>
  </si>
  <si>
    <t>http://data.europa.eu/it6/severity</t>
  </si>
  <si>
    <t>http://data.europa.eu/it6/source</t>
  </si>
  <si>
    <t>http://data.europa.eu/it6/Run</t>
  </si>
  <si>
    <t>http://data.europa.eu/it6/errorMessage</t>
  </si>
  <si>
    <t>http://data.europa.eu/it6/runDetails</t>
  </si>
  <si>
    <t>http://data.europa.eu/it6/setupId</t>
  </si>
  <si>
    <t>http://data.europa.eu/it6/setupString</t>
  </si>
  <si>
    <t>http://www.w3.org/ns/mls#realizes</t>
  </si>
  <si>
    <t>http://data.europa.eu/it6/hasEnvironmentalImpact</t>
  </si>
  <si>
    <t>http://data.europa.eu/it6/hasEvaluation</t>
  </si>
  <si>
    <t>http://data.europa.eu/it6/hasHyperParameter</t>
  </si>
  <si>
    <t>http://data.europa.eu/it6/hasOutputFileDescription</t>
  </si>
  <si>
    <t>http://data.europa.eu/it6/hasTask</t>
  </si>
  <si>
    <t>http://data.europa.eu/it6/RunCollection</t>
  </si>
  <si>
    <t>http://data.europa.eu/it6/hasRun</t>
  </si>
  <si>
    <t>http://data.europa.eu/it6/Split</t>
  </si>
  <si>
    <t>http://data.europa.eu/it6/isAppliedTo</t>
  </si>
  <si>
    <t>http://data.europa.eu/it6/Task</t>
  </si>
  <si>
    <t>http://data.europa.eu/it6/hasCostMatrix</t>
  </si>
  <si>
    <t>http://data.europa.eu/it6/hasEstimationProcedure</t>
  </si>
  <si>
    <t>http://data.europa.eu/it6/hasEvaluationMeasure</t>
  </si>
  <si>
    <t>http://data.europa.eu/it6/hasOutput</t>
  </si>
  <si>
    <t>http://data.europa.eu/it6/hasTaskType</t>
  </si>
  <si>
    <t>http://data.europa.eu/it6/sourceData</t>
  </si>
  <si>
    <t>http://data.europa.eu/it6/targetFeature</t>
  </si>
  <si>
    <t>http://data.europa.eu/it6/TaskCollection</t>
  </si>
  <si>
    <t>http://data.europa.eu/it6/TaskType</t>
  </si>
  <si>
    <t>http://www.w3.org/2004/02/skos/core#definition</t>
  </si>
  <si>
    <t>http://purl.org/dc/terms/abstract</t>
  </si>
  <si>
    <t>http://purl.org/dc/terms/date</t>
  </si>
  <si>
    <t>http://data.europa.eu/it6/hasDocument</t>
  </si>
  <si>
    <t>http://purl.org/dc/terms/subject</t>
  </si>
  <si>
    <t>https://linkedpaperswithcode.com/property/hasModel</t>
  </si>
  <si>
    <t>https://linkedpaperswithcode.com/property/hasRepository</t>
  </si>
  <si>
    <t>http://data.europa.eu/it6/hasFile</t>
  </si>
  <si>
    <t>http://w3id.org/mlso/hasAlgorithmType</t>
  </si>
  <si>
    <t>http://w3id.org/mlso/hasLearningMethodType</t>
  </si>
  <si>
    <t>http://spdx.org/rdf/terms#algorithm</t>
  </si>
  <si>
    <t>http://spdx.org/rdf/terms#checksumValue</t>
  </si>
  <si>
    <t>Literal</t>
  </si>
  <si>
    <t>Temporal Literal</t>
  </si>
  <si>
    <t>hexBinary</t>
  </si>
  <si>
    <t>integer</t>
  </si>
  <si>
    <t>nonNegativeInteger</t>
  </si>
  <si>
    <t>Bibliographic Reference</t>
  </si>
  <si>
    <t>bibliographic citation</t>
  </si>
  <si>
    <t>format</t>
  </si>
  <si>
    <t>references</t>
  </si>
  <si>
    <t>Image Object</t>
  </si>
  <si>
    <t>Catalogue</t>
  </si>
  <si>
    <t>description</t>
  </si>
  <si>
    <t>homepage</t>
  </si>
  <si>
    <t>identifier</t>
  </si>
  <si>
    <t>keyword</t>
  </si>
  <si>
    <t>modification date</t>
  </si>
  <si>
    <t>release date</t>
  </si>
  <si>
    <t>title</t>
  </si>
  <si>
    <t>creator</t>
  </si>
  <si>
    <t>dataset</t>
  </si>
  <si>
    <t>licence</t>
  </si>
  <si>
    <t>publisher</t>
  </si>
  <si>
    <t>record</t>
  </si>
  <si>
    <t>service</t>
  </si>
  <si>
    <t>Catalogue Record</t>
  </si>
  <si>
    <t>description version</t>
  </si>
  <si>
    <t>primary topic</t>
  </si>
  <si>
    <t>Data Service</t>
  </si>
  <si>
    <t>endpoint URL</t>
  </si>
  <si>
    <t>serves dataset</t>
  </si>
  <si>
    <t>Dataset</t>
  </si>
  <si>
    <t>access rights</t>
  </si>
  <si>
    <t>collection date</t>
  </si>
  <si>
    <t>collection method</t>
  </si>
  <si>
    <t>landing page</t>
  </si>
  <si>
    <t>status</t>
  </si>
  <si>
    <t>version info</t>
  </si>
  <si>
    <t>version label</t>
  </si>
  <si>
    <t>visibility</t>
  </si>
  <si>
    <t>contributor</t>
  </si>
  <si>
    <t>dataset distribution</t>
  </si>
  <si>
    <t>has version</t>
  </si>
  <si>
    <t>is referenced by</t>
  </si>
  <si>
    <t>is version of</t>
  </si>
  <si>
    <t>Distribution</t>
  </si>
  <si>
    <t>access URL</t>
  </si>
  <si>
    <t>byte size</t>
  </si>
  <si>
    <t>default target attribute</t>
  </si>
  <si>
    <t>download URL</t>
  </si>
  <si>
    <t>has policy</t>
  </si>
  <si>
    <t>ignore attribute</t>
  </si>
  <si>
    <t>language</t>
  </si>
  <si>
    <t>media type</t>
  </si>
  <si>
    <t>number of datapoints</t>
  </si>
  <si>
    <t>processing date</t>
  </si>
  <si>
    <t>processing error</t>
  </si>
  <si>
    <t>processing warning</t>
  </si>
  <si>
    <t>row ID attribute</t>
  </si>
  <si>
    <t>access service</t>
  </si>
  <si>
    <t>checksum</t>
  </si>
  <si>
    <t>has feature</t>
  </si>
  <si>
    <t>has quality measurement</t>
  </si>
  <si>
    <t>Catalogued Resource</t>
  </si>
  <si>
    <t>Licence document</t>
  </si>
  <si>
    <t>Linguistic System</t>
  </si>
  <si>
    <t>Media Type</t>
  </si>
  <si>
    <t>Media Type Or Extent</t>
  </si>
  <si>
    <t>Rights statement</t>
  </si>
  <si>
    <t>Quality Measurement</t>
  </si>
  <si>
    <t>interval end</t>
  </si>
  <si>
    <t>interval start</t>
  </si>
  <si>
    <t>value</t>
  </si>
  <si>
    <t>feature index</t>
  </si>
  <si>
    <t>type</t>
  </si>
  <si>
    <t>Agent</t>
  </si>
  <si>
    <t>name</t>
  </si>
  <si>
    <t>Document</t>
  </si>
  <si>
    <t>Benchmark</t>
  </si>
  <si>
    <t>Collection</t>
  </si>
  <si>
    <t>creation date</t>
  </si>
  <si>
    <t>has uploader</t>
  </si>
  <si>
    <t>Computer Infrastructure</t>
  </si>
  <si>
    <t>has hardware</t>
  </si>
  <si>
    <t>has library</t>
  </si>
  <si>
    <t>Cost Matrix</t>
  </si>
  <si>
    <t>Data quality</t>
  </si>
  <si>
    <t>Engagement</t>
  </si>
  <si>
    <t>download</t>
  </si>
  <si>
    <t>like</t>
  </si>
  <si>
    <t>Environmental Impact</t>
  </si>
  <si>
    <t>carbon emitted</t>
  </si>
  <si>
    <t>power consumption</t>
  </si>
  <si>
    <t>Estimation Procedure</t>
  </si>
  <si>
    <t>data splits URL</t>
  </si>
  <si>
    <t>has parameter</t>
  </si>
  <si>
    <t>Evaluation</t>
  </si>
  <si>
    <t>array data</t>
  </si>
  <si>
    <t>fold</t>
  </si>
  <si>
    <t>label</t>
  </si>
  <si>
    <t>repeat</t>
  </si>
  <si>
    <t>sample</t>
  </si>
  <si>
    <t>sample size</t>
  </si>
  <si>
    <t>stdev</t>
  </si>
  <si>
    <t>has flow</t>
  </si>
  <si>
    <t>Evaluation Measure</t>
  </si>
  <si>
    <t>implementation</t>
  </si>
  <si>
    <t>value bad</t>
  </si>
  <si>
    <t>value good</t>
  </si>
  <si>
    <t>Feature</t>
  </si>
  <si>
    <t>Output File Prediction</t>
  </si>
  <si>
    <t>id</t>
  </si>
  <si>
    <t>url</t>
  </si>
  <si>
    <t>Flow</t>
  </si>
  <si>
    <t>class name</t>
  </si>
  <si>
    <t>custom name</t>
  </si>
  <si>
    <t>external version</t>
  </si>
  <si>
    <t>uploaded</t>
  </si>
  <si>
    <t>version</t>
  </si>
  <si>
    <t>has dependency</t>
  </si>
  <si>
    <t>has flow parameter</t>
  </si>
  <si>
    <t>Flow Parameter</t>
  </si>
  <si>
    <t>default value</t>
  </si>
  <si>
    <t>recommended range</t>
  </si>
  <si>
    <t>Hardware</t>
  </si>
  <si>
    <t>Library</t>
  </si>
  <si>
    <t>is executed by</t>
  </si>
  <si>
    <t>Machine Learning Model</t>
  </si>
  <si>
    <t>bias</t>
  </si>
  <si>
    <t>created</t>
  </si>
  <si>
    <t>evaluation results</t>
  </si>
  <si>
    <t>evaluation strategy</t>
  </si>
  <si>
    <t>how to use</t>
  </si>
  <si>
    <t>intended use</t>
  </si>
  <si>
    <t>limitations</t>
  </si>
  <si>
    <t>modified</t>
  </si>
  <si>
    <t>short description</t>
  </si>
  <si>
    <t>testing description</t>
  </si>
  <si>
    <t>training methodologies</t>
  </si>
  <si>
    <t>training process</t>
  </si>
  <si>
    <t>fine tuned from</t>
  </si>
  <si>
    <t>has benchmark</t>
  </si>
  <si>
    <t>has bibliographic reference</t>
  </si>
  <si>
    <t>has engagement</t>
  </si>
  <si>
    <t>has output file prediction</t>
  </si>
  <si>
    <t>has prediction</t>
  </si>
  <si>
    <t>has provider</t>
  </si>
  <si>
    <t>has registered user</t>
  </si>
  <si>
    <t>has repository</t>
  </si>
  <si>
    <t>has risk</t>
  </si>
  <si>
    <t>has variation</t>
  </si>
  <si>
    <t>logo</t>
  </si>
  <si>
    <t>runned on</t>
  </si>
  <si>
    <t>tested on</t>
  </si>
  <si>
    <t>trained on</t>
  </si>
  <si>
    <t>validated on</t>
  </si>
  <si>
    <t>Measure</t>
  </si>
  <si>
    <t>Output File Description</t>
  </si>
  <si>
    <t>Parameter</t>
  </si>
  <si>
    <t>component</t>
  </si>
  <si>
    <t>Prediction</t>
  </si>
  <si>
    <t>has prediction feature</t>
  </si>
  <si>
    <t>Prediction Feature</t>
  </si>
  <si>
    <t>Quality Measurement Dataset</t>
  </si>
  <si>
    <t>evaluation engine id</t>
  </si>
  <si>
    <t>Risk</t>
  </si>
  <si>
    <t>mitigation</t>
  </si>
  <si>
    <t>nature</t>
  </si>
  <si>
    <t>probability</t>
  </si>
  <si>
    <t>severity</t>
  </si>
  <si>
    <t>source</t>
  </si>
  <si>
    <t>Run</t>
  </si>
  <si>
    <t>error message</t>
  </si>
  <si>
    <t>run details</t>
  </si>
  <si>
    <t>setup Id</t>
  </si>
  <si>
    <t>setup string</t>
  </si>
  <si>
    <t>executes</t>
  </si>
  <si>
    <t>has environmental impact</t>
  </si>
  <si>
    <t>has evaluation</t>
  </si>
  <si>
    <t>has hyperparameter</t>
  </si>
  <si>
    <t>has output file description</t>
  </si>
  <si>
    <t>has task</t>
  </si>
  <si>
    <t>Run Collection</t>
  </si>
  <si>
    <t>has run</t>
  </si>
  <si>
    <t>Split</t>
  </si>
  <si>
    <t>is applied to</t>
  </si>
  <si>
    <t>Task</t>
  </si>
  <si>
    <t>has cost matrix</t>
  </si>
  <si>
    <t>has estimation procedure</t>
  </si>
  <si>
    <t>has evaluation measure</t>
  </si>
  <si>
    <t>has output</t>
  </si>
  <si>
    <t>has task type</t>
  </si>
  <si>
    <t>source data</t>
  </si>
  <si>
    <t>target feature</t>
  </si>
  <si>
    <t>Task Collection</t>
  </si>
  <si>
    <t>Task Type</t>
  </si>
  <si>
    <t>Paper</t>
  </si>
  <si>
    <t>abstract</t>
  </si>
  <si>
    <t>date</t>
  </si>
  <si>
    <t>has document</t>
  </si>
  <si>
    <t>subject</t>
  </si>
  <si>
    <t>has model</t>
  </si>
  <si>
    <t>Repository</t>
  </si>
  <si>
    <t>has file</t>
  </si>
  <si>
    <t>Algorithm</t>
  </si>
  <si>
    <t>has algorithm type</t>
  </si>
  <si>
    <t>has learning method type</t>
  </si>
  <si>
    <t>Policy</t>
  </si>
  <si>
    <t>Resource</t>
  </si>
  <si>
    <t>Concept</t>
  </si>
  <si>
    <t>Checksum</t>
  </si>
  <si>
    <t>algorithm</t>
  </si>
  <si>
    <t>checksum value</t>
  </si>
  <si>
    <t>Checksum Algorithm</t>
  </si>
  <si>
    <t>sssom:subject_label</t>
  </si>
  <si>
    <t>sssom:object_label</t>
  </si>
  <si>
    <t>fair4ml</t>
  </si>
  <si>
    <t>https://w3id.org/fair4ml#</t>
  </si>
  <si>
    <t>http://mapping.semic.eu/mldcat-ap/fair4ml</t>
  </si>
  <si>
    <t>fair4ml:evaluatedOn</t>
  </si>
  <si>
    <t>Runned on is generic term just to execute the model and therefore evaluate it</t>
  </si>
  <si>
    <t>fair4ml:fineTunedFrom</t>
  </si>
  <si>
    <t>fair4ml:hasCO2eEmissions</t>
  </si>
  <si>
    <t>fair4ml:intendedUse</t>
  </si>
  <si>
    <t>fair4ml:modelCategory</t>
  </si>
  <si>
    <t>FAIR4ML includes in the definition "algorithm type"</t>
  </si>
  <si>
    <t>fair4ml:modelRisksBiasLimitations</t>
  </si>
  <si>
    <t>MLDCAT-AP has relations more specialized</t>
  </si>
  <si>
    <t>fair4ml:sharedBy</t>
  </si>
  <si>
    <t>The word sharing might be more that just uploading</t>
  </si>
  <si>
    <t>fair4ml:testedOn</t>
  </si>
  <si>
    <t>fair4ml:trainedOn</t>
  </si>
  <si>
    <t>fair4ml:usageInstructions</t>
  </si>
  <si>
    <t>fair4ml:validatedOn</t>
  </si>
  <si>
    <t>schema:author</t>
  </si>
  <si>
    <t>schema:citation</t>
  </si>
  <si>
    <t>schema:codeRepository</t>
  </si>
  <si>
    <t>FAIR4ML definition talks about code and related code</t>
  </si>
  <si>
    <t>schema:contributor</t>
  </si>
  <si>
    <t>schema:dateCreated</t>
  </si>
  <si>
    <t>schema:dateModified</t>
  </si>
  <si>
    <t>schema:datePublished</t>
  </si>
  <si>
    <t>schema:description</t>
  </si>
  <si>
    <t>schema:distribution</t>
  </si>
  <si>
    <t>FAIR4ML talks about downloadable dataset</t>
  </si>
  <si>
    <t>schema:inLanguage</t>
  </si>
  <si>
    <t>schema:keywords</t>
  </si>
  <si>
    <t>schema:license</t>
  </si>
  <si>
    <t>schema:name</t>
  </si>
  <si>
    <t>schema:version</t>
  </si>
  <si>
    <t>codemeta:referencePublication</t>
  </si>
  <si>
    <t>codemeta</t>
  </si>
  <si>
    <t>schema</t>
  </si>
  <si>
    <t>https://w3id.org/codemeta/</t>
  </si>
  <si>
    <t>http://schema.org/</t>
  </si>
  <si>
    <t>http://mapping.semic.eu/mldcat-ap/fair4ml/</t>
  </si>
  <si>
    <t>mldcat-ap-fair</t>
  </si>
  <si>
    <t>Alignment of MLDCAT-AP with FAIR4ML</t>
  </si>
  <si>
    <t>It describes an alignment between MLDCAT-AP with FAIR4ML.
The spreadsheet can be converted in RDF format using SKOS Play!. The RDF format are based on the Aligment Format and on SSSOM.</t>
  </si>
  <si>
    <t>http://data.europa.eu/it6/</t>
  </si>
  <si>
    <t>2.1.0</t>
  </si>
  <si>
    <t>0.1.0</t>
  </si>
  <si>
    <t>In MLDCAT-AP is associated to a class Environmental Impact (that includes the power consumed) related to the Run (execution) to train the model</t>
  </si>
  <si>
    <t>citation</t>
  </si>
  <si>
    <t>reference publication</t>
  </si>
  <si>
    <t>has CO2 emissions</t>
  </si>
  <si>
    <t>model risks bias limitations</t>
  </si>
  <si>
    <t>usage instructions</t>
  </si>
  <si>
    <t>date created</t>
  </si>
  <si>
    <t>in language</t>
  </si>
  <si>
    <t>date modified</t>
  </si>
  <si>
    <t>model category</t>
  </si>
  <si>
    <t>code repository</t>
  </si>
  <si>
    <t>shared by</t>
  </si>
  <si>
    <t>evaluated on</t>
  </si>
  <si>
    <t>keywords</t>
  </si>
  <si>
    <t>distribution</t>
  </si>
  <si>
    <t>owl:annotatedSource</t>
  </si>
  <si>
    <t>d=rdfs::Literal</t>
  </si>
  <si>
    <t>d=rdfs::TemporalLiteral</t>
  </si>
  <si>
    <t>d=xsd::HexBinary</t>
  </si>
  <si>
    <t>d=xsd::Integer</t>
  </si>
  <si>
    <t>d=xsd::nonNegativeInteger</t>
  </si>
  <si>
    <t>k=biro::BibliographicReference</t>
  </si>
  <si>
    <t>k=biro::BibliographicReference|a=bibliographicCitation</t>
  </si>
  <si>
    <t>k=biro::BibliographicReference|a=format</t>
  </si>
  <si>
    <t>k=biro::BibliographicReference|r=references|k=lpwcc::Paper</t>
  </si>
  <si>
    <t>k=cv::ImageObject</t>
  </si>
  <si>
    <t>k=dcat::Catalog</t>
  </si>
  <si>
    <t>k=dcat::Catalog|a=description</t>
  </si>
  <si>
    <t>k=dcat::Catalog|a=homepage</t>
  </si>
  <si>
    <t>k=dcat::Catalog|a=identifier</t>
  </si>
  <si>
    <t>k=dcat::Catalog|a=keyword</t>
  </si>
  <si>
    <t>k=dcat::Catalog|a=modificationDate</t>
  </si>
  <si>
    <t>k=dcat::Catalog|a=releaseDate</t>
  </si>
  <si>
    <t>k=dcat::Catalog|a=title</t>
  </si>
  <si>
    <t>k=dcat::Catalog|r=creator|k=foaf::Agent</t>
  </si>
  <si>
    <t>k=dcat::Catalog|r=dataset|k=dcat::Dataset</t>
  </si>
  <si>
    <t>k=dcat::Catalog|r=licence|k=dct::LicenseDocument</t>
  </si>
  <si>
    <t>k=dcat::Catalog|r=publisher|k=foaf::Agent</t>
  </si>
  <si>
    <t>k=dcat::Catalog|r=record|k=dcat::CatalogRecord</t>
  </si>
  <si>
    <t>k=dcat::Catalog|r=service|k=dcat::DataService</t>
  </si>
  <si>
    <t>k=dcat::CatalogRecord</t>
  </si>
  <si>
    <t>k=dcat::CatalogRecord|a=description</t>
  </si>
  <si>
    <t>k=dcat::CatalogRecord|a=modified</t>
  </si>
  <si>
    <t>k=dcat::CatalogRecord|a=version</t>
  </si>
  <si>
    <t>k=dcat::CatalogRecord|r=primaryTopic|k=dcat::Resource</t>
  </si>
  <si>
    <t>k=dcat::DataService</t>
  </si>
  <si>
    <t>k=dcat::DataService|a=endpointURL</t>
  </si>
  <si>
    <t>k=dcat::DataService|a=title</t>
  </si>
  <si>
    <t>k=dcat::DataService|r=servesDataset|k=dcat::Dataset</t>
  </si>
  <si>
    <t>k=dcat::Dataset</t>
  </si>
  <si>
    <t>k=dcat::Dataset|a=accessRights</t>
  </si>
  <si>
    <t>k=dcat::Dataset|a=collectionDate</t>
  </si>
  <si>
    <t>k=dcat::Dataset|a=collectionMethod</t>
  </si>
  <si>
    <t>k=dcat::Dataset|a=description</t>
  </si>
  <si>
    <t>k=dcat::Dataset|a=identifier</t>
  </si>
  <si>
    <t>k=dcat::Dataset|a=issued</t>
  </si>
  <si>
    <t>k=dcat::Dataset|a=keyword</t>
  </si>
  <si>
    <t>k=dcat::Dataset|a=landingPage</t>
  </si>
  <si>
    <t>k=dcat::Dataset|a=status</t>
  </si>
  <si>
    <t>k=dcat::Dataset|a=title</t>
  </si>
  <si>
    <t>k=dcat::Dataset|a=versionInfo</t>
  </si>
  <si>
    <t>k=dcat::Dataset|a=versionLabel</t>
  </si>
  <si>
    <t>k=dcat::Dataset|a=visibility</t>
  </si>
  <si>
    <t>k=dcat::Dataset|r=contributor|k=foaf::Agent</t>
  </si>
  <si>
    <t>k=dcat::Dataset|r=creator|k=foaf::Agent</t>
  </si>
  <si>
    <t>k=dcat::Dataset|r=distribution|k=dcat::Distribution</t>
  </si>
  <si>
    <t>k=dcat::Dataset|r=hasVersion|k=dcat::Dataset</t>
  </si>
  <si>
    <t>k=dcat::Dataset|r=isReferencedBy|k=lpwcc::Paper</t>
  </si>
  <si>
    <t>k=dcat::Dataset|r=isVersionOf|k=dcat::Dataset</t>
  </si>
  <si>
    <t>k=dcat::Dataset|r=publisher|k=foaf::Agent</t>
  </si>
  <si>
    <t>k=dcat::Distribution</t>
  </si>
  <si>
    <t>k=dcat::Distribution|a=accessURL</t>
  </si>
  <si>
    <t>k=dcat::Distribution|a=byteSize</t>
  </si>
  <si>
    <t>k=dcat::Distribution|a=defaultTargetAttribute</t>
  </si>
  <si>
    <t>k=dcat::Distribution|a=downloadURL</t>
  </si>
  <si>
    <t>k=dcat::Distribution|a=format</t>
  </si>
  <si>
    <t>k=dcat::Distribution|a=hasPolicy</t>
  </si>
  <si>
    <t>k=dcat::Distribution|a=identifier</t>
  </si>
  <si>
    <t>k=dcat::Distribution|a=ignoreAttribute</t>
  </si>
  <si>
    <t>k=dcat::Distribution|a=language</t>
  </si>
  <si>
    <t>k=dcat::Distribution|a=mediaType</t>
  </si>
  <si>
    <t>k=dcat::Distribution|a=numberOfDatapoints</t>
  </si>
  <si>
    <t>k=dcat::Distribution|a=processingDate</t>
  </si>
  <si>
    <t>k=dcat::Distribution|a=processingError</t>
  </si>
  <si>
    <t>k=dcat::Distribution|a=processingWarning</t>
  </si>
  <si>
    <t>k=dcat::Distribution|a=rowIDAttribute</t>
  </si>
  <si>
    <t>k=dcat::Distribution|a=title</t>
  </si>
  <si>
    <t>k=dcat::Distribution|r=accessService|k=dcat::DataService</t>
  </si>
  <si>
    <t>k=dcat::Distribution|r=checksum|k=spdx::Checksum</t>
  </si>
  <si>
    <t>k=dcat::Distribution|r=hasFeature|k=it6::Feature</t>
  </si>
  <si>
    <t>k=dcat::Distribution|r=hasQualityMeasurement|k=dqv::QualityMeasurement</t>
  </si>
  <si>
    <t>k=dcat::Distribution|r=licence|k=dct::LicenseDocument</t>
  </si>
  <si>
    <t>k=dcat::Resource</t>
  </si>
  <si>
    <t>k=dct::LicenseDocument</t>
  </si>
  <si>
    <t>k=dct::LinguisticSystem</t>
  </si>
  <si>
    <t>k=dct::MediaType</t>
  </si>
  <si>
    <t>k=dct::MediaTypeOrExtent</t>
  </si>
  <si>
    <t>k=dct::RightsStatement</t>
  </si>
  <si>
    <t>k=dqv::QualityMeasurement</t>
  </si>
  <si>
    <t>k=dqv::QualityMeasurement|a=intervalEnd</t>
  </si>
  <si>
    <t>k=dqv::QualityMeasurement|a=intervalStart</t>
  </si>
  <si>
    <t>k=dqv::QualityMeasurement|a=value</t>
  </si>
  <si>
    <t>k=dqv::QualityMeasurement|r=dataset|k=it6::QualityMeasurementDataset</t>
  </si>
  <si>
    <t>k=dqv::QualityMeasurement|r=featureIndex|k=it6::Feature</t>
  </si>
  <si>
    <t>k=dqv::QualityMeasurement|r=type|k=it6::DataQuality</t>
  </si>
  <si>
    <t>k=foaf::Agent</t>
  </si>
  <si>
    <t>k=foaf::Agent|a=name</t>
  </si>
  <si>
    <t>k=foaf::Document</t>
  </si>
  <si>
    <t>k=it6::Benchmark</t>
  </si>
  <si>
    <t>k=it6::Benchmark|a=title</t>
  </si>
  <si>
    <t>k=it6::Collection</t>
  </si>
  <si>
    <t>k=it6::Collection|a=creationDate</t>
  </si>
  <si>
    <t>k=it6::Collection|a=description</t>
  </si>
  <si>
    <t>k=it6::Collection|a=identifier</t>
  </si>
  <si>
    <t>k=it6::Collection|a=title</t>
  </si>
  <si>
    <t>k=it6::Collection|a=visibility</t>
  </si>
  <si>
    <t>k=it6::Collection|r=hasUploader|k=foaf::Agent</t>
  </si>
  <si>
    <t>k=it6::ComputerInfrastructure</t>
  </si>
  <si>
    <t>k=it6::ComputerInfrastructure|a=title</t>
  </si>
  <si>
    <t>k=it6::ComputerInfrastructure|r=hasHardware|k=it6::Hardware</t>
  </si>
  <si>
    <t>k=it6::ComputerInfrastructure|r=hasLibrary|k=it6::Library</t>
  </si>
  <si>
    <t>k=it6::CostMatrix</t>
  </si>
  <si>
    <t>k=it6::DataQuality</t>
  </si>
  <si>
    <t>k=it6::DataQuality|a=description</t>
  </si>
  <si>
    <t>k=it6::DataQuality|a=identifier</t>
  </si>
  <si>
    <t>k=it6::DataQuality|a=title</t>
  </si>
  <si>
    <t>k=it6::Engagement</t>
  </si>
  <si>
    <t>k=it6::Engagement|a=download</t>
  </si>
  <si>
    <t>k=it6::Engagement|a=like</t>
  </si>
  <si>
    <t>k=it6::EnvironmentalImpact</t>
  </si>
  <si>
    <t>k=it6::EnvironmentalImpact|a=carbonEmitted</t>
  </si>
  <si>
    <t>k=it6::EnvironmentalImpact|a=powerConsumption</t>
  </si>
  <si>
    <t>k=it6::EstimationProcedure</t>
  </si>
  <si>
    <t>k=it6::EstimationProcedure|a=dataSplitsURL</t>
  </si>
  <si>
    <t>k=it6::EstimationProcedure|a=description</t>
  </si>
  <si>
    <t>k=it6::EstimationProcedure|a=identifier</t>
  </si>
  <si>
    <t>k=it6::EstimationProcedure|a=title</t>
  </si>
  <si>
    <t>k=it6::EstimationProcedure|a=type</t>
  </si>
  <si>
    <t>k=it6::EstimationProcedure|r=hasParameter|k=it6::Parameter</t>
  </si>
  <si>
    <t>k=it6::Evaluation</t>
  </si>
  <si>
    <t>k=it6::Evaluation|a=arrayData</t>
  </si>
  <si>
    <t>k=it6::Evaluation|a=fold</t>
  </si>
  <si>
    <t>k=it6::Evaluation|a=identifier</t>
  </si>
  <si>
    <t>k=it6::Evaluation|a=intervalEnd</t>
  </si>
  <si>
    <t>k=it6::Evaluation|a=intervalStart</t>
  </si>
  <si>
    <t>k=it6::Evaluation|a=label</t>
  </si>
  <si>
    <t>k=it6::Evaluation|a=repeat</t>
  </si>
  <si>
    <t>k=it6::Evaluation|a=sample</t>
  </si>
  <si>
    <t>k=it6::Evaluation|a=sampleSize</t>
  </si>
  <si>
    <t>k=it6::Evaluation|a=stdev</t>
  </si>
  <si>
    <t>k=it6::Evaluation|a=title</t>
  </si>
  <si>
    <t>k=it6::Evaluation|a=value</t>
  </si>
  <si>
    <t>k=it6::Evaluation|r=hasFlow|k=it6::Flow</t>
  </si>
  <si>
    <t>k=it6::EvaluationMeasure</t>
  </si>
  <si>
    <t>k=it6::EvaluationMeasure|a=description</t>
  </si>
  <si>
    <t>k=it6::EvaluationMeasure|a=implementation</t>
  </si>
  <si>
    <t>k=it6::EvaluationMeasure|a=title</t>
  </si>
  <si>
    <t>k=it6::EvaluationMeasure|a=value</t>
  </si>
  <si>
    <t>k=it6::EvaluationMeasure|a=valueBad</t>
  </si>
  <si>
    <t>k=it6::EvaluationMeasure|a=valueGood</t>
  </si>
  <si>
    <t>k=it6::Feature</t>
  </si>
  <si>
    <t>k=it6::Feature|a=description</t>
  </si>
  <si>
    <t>k=it6::Feature|a=title</t>
  </si>
  <si>
    <t>k=it6::Feature|a=type</t>
  </si>
  <si>
    <t>k=it6::File</t>
  </si>
  <si>
    <t>k=it6::File|a=format</t>
  </si>
  <si>
    <t>k=it6::File|a=identifier</t>
  </si>
  <si>
    <t>k=it6::File|a=title</t>
  </si>
  <si>
    <t>k=it6::File|a=url</t>
  </si>
  <si>
    <t>k=it6::File|r=checksum|k=spdx::Checksum</t>
  </si>
  <si>
    <t>k=it6::Flow</t>
  </si>
  <si>
    <t>k=it6::Flow|a=className</t>
  </si>
  <si>
    <t>k=it6::Flow|a=customName</t>
  </si>
  <si>
    <t>k=it6::Flow|a=description</t>
  </si>
  <si>
    <t>k=it6::Flow|a=externalVersion</t>
  </si>
  <si>
    <t>k=it6::Flow|a=identifier</t>
  </si>
  <si>
    <t>k=it6::Flow|a=keyword</t>
  </si>
  <si>
    <t>k=it6::Flow|a=status</t>
  </si>
  <si>
    <t>k=it6::Flow|a=title</t>
  </si>
  <si>
    <t>k=it6::Flow|a=uploaded</t>
  </si>
  <si>
    <t>k=it6::Flow|a=version</t>
  </si>
  <si>
    <t>k=it6::Flow|r=hasDependency|k=it6::Library</t>
  </si>
  <si>
    <t>k=it6::Flow|r=hasFlowParameter|k=it6::FlowParameter</t>
  </si>
  <si>
    <t>k=it6::Flow|r=hasUploader|k=foaf::Agent</t>
  </si>
  <si>
    <t>k=it6::FlowParameter</t>
  </si>
  <si>
    <t>k=it6::FlowParameter|a=defaultValue</t>
  </si>
  <si>
    <t>k=it6::FlowParameter|a=description</t>
  </si>
  <si>
    <t>k=it6::FlowParameter|a=recommendedRange</t>
  </si>
  <si>
    <t>k=it6::FlowParameter|a=title</t>
  </si>
  <si>
    <t>k=it6::FlowParameter|a=type</t>
  </si>
  <si>
    <t>k=it6::Hardware</t>
  </si>
  <si>
    <t>k=it6::Hardware|a=title</t>
  </si>
  <si>
    <t>k=it6::Library</t>
  </si>
  <si>
    <t>k=it6::Library|a=title</t>
  </si>
  <si>
    <t>k=it6::Library|a=version</t>
  </si>
  <si>
    <t>k=it6::Library|r=isExecutedBy|k=it6::File</t>
  </si>
  <si>
    <t>k=it6::Library|r=licence|k=dct::LicenseDocument</t>
  </si>
  <si>
    <t>k=it6::MachineLearningModel</t>
  </si>
  <si>
    <t>k=it6::MachineLearningModel|a=bias</t>
  </si>
  <si>
    <t>k=it6::MachineLearningModel|a=created</t>
  </si>
  <si>
    <t>k=it6::MachineLearningModel|a=description</t>
  </si>
  <si>
    <t>k=it6::MachineLearningModel|a=evaluationResults</t>
  </si>
  <si>
    <t>k=it6::MachineLearningModel|a=evaluationStrategies</t>
  </si>
  <si>
    <t>k=it6::MachineLearningModel|a=hasPolicy</t>
  </si>
  <si>
    <t>k=it6::MachineLearningModel|a=howToUse</t>
  </si>
  <si>
    <t>k=it6::MachineLearningModel|a=intendedUse</t>
  </si>
  <si>
    <t>k=it6::MachineLearningModel|a=keyword</t>
  </si>
  <si>
    <t>k=it6::MachineLearningModel|a=language</t>
  </si>
  <si>
    <t>k=it6::MachineLearningModel|a=limitations</t>
  </si>
  <si>
    <t>k=it6::MachineLearningModel|a=modificationDate</t>
  </si>
  <si>
    <t>k=it6::MachineLearningModel|a=releaseDate</t>
  </si>
  <si>
    <t>k=it6::MachineLearningModel|a=shortDescription</t>
  </si>
  <si>
    <t>k=it6::MachineLearningModel|a=testingDescription</t>
  </si>
  <si>
    <t>k=it6::MachineLearningModel|a=title</t>
  </si>
  <si>
    <t>k=it6::MachineLearningModel|a=trainingMethodologies</t>
  </si>
  <si>
    <t>k=it6::MachineLearningModel|a=trainingProcess</t>
  </si>
  <si>
    <t>k=it6::MachineLearningModel|a=type</t>
  </si>
  <si>
    <t>k=it6::MachineLearningModel|a=version</t>
  </si>
  <si>
    <t>k=it6::MachineLearningModel|r=contributor|k=foaf::Agent</t>
  </si>
  <si>
    <t>k=it6::MachineLearningModel|r=creator|k=foaf::Agent</t>
  </si>
  <si>
    <t>k=it6::MachineLearningModel|r=fineTunedFrom|k=it6::MachineLearningModel</t>
  </si>
  <si>
    <t>k=it6::MachineLearningModel|r=hasBenchmark|k=it6::Benchmark</t>
  </si>
  <si>
    <t>k=it6::MachineLearningModel|r=hasBibliographicReference|k=biro::BibliographicReference</t>
  </si>
  <si>
    <t>k=it6::MachineLearningModel|r=hasEngagement|k=it6::Engagement</t>
  </si>
  <si>
    <t>k=it6::MachineLearningModel|r=hasFile|k=it6::File</t>
  </si>
  <si>
    <t>k=it6::MachineLearningModel|r=hasOutput|k=dcat::Dataset</t>
  </si>
  <si>
    <t>k=it6::MachineLearningModel|r=hasProvider|k=foaf::Agent</t>
  </si>
  <si>
    <t>k=it6::MachineLearningModel|r=hasRegisteredUser|k=foaf::Agent</t>
  </si>
  <si>
    <t>k=it6::MachineLearningModel|r=hasRepository|k=lpwcc::Repository</t>
  </si>
  <si>
    <t>k=it6::MachineLearningModel|r=hasRisk|k=it6::Risk</t>
  </si>
  <si>
    <t>k=it6::MachineLearningModel|r=hasUploader|k=foaf::Agent</t>
  </si>
  <si>
    <t>k=it6::MachineLearningModel|r=hasVariation|k=it6::MachineLearningModel</t>
  </si>
  <si>
    <t>k=it6::MachineLearningModel|r=licence|k=dct::LicenseDocument</t>
  </si>
  <si>
    <t>k=it6::MachineLearningModel|r=logo|k=cv::ImageObject</t>
  </si>
  <si>
    <t>k=it6::MachineLearningModel|r=runnedOn|k=dcat::Dataset</t>
  </si>
  <si>
    <t>k=it6::MachineLearningModel|r=testedOn|k=dcat::Dataset</t>
  </si>
  <si>
    <t>k=it6::MachineLearningModel|r=trainedOn|k=dcat::Dataset</t>
  </si>
  <si>
    <t>k=it6::MachineLearningModel|r=validatedOn|k=dcat::Dataset</t>
  </si>
  <si>
    <t>k=it6::Measure</t>
  </si>
  <si>
    <t>k=it6::OutputFileDescription</t>
  </si>
  <si>
    <t>k=it6::OutputFileDescription|a=identifier</t>
  </si>
  <si>
    <t>k=it6::OutputFileDescription|a=title</t>
  </si>
  <si>
    <t>k=it6::OutputFileDescription|a=url</t>
  </si>
  <si>
    <t>k=it6::Parameter</t>
  </si>
  <si>
    <t>k=it6::Parameter|a=component</t>
  </si>
  <si>
    <t>k=it6::Parameter|a=title</t>
  </si>
  <si>
    <t>k=it6::Parameter|a=value</t>
  </si>
  <si>
    <t>k=it6::Prediction</t>
  </si>
  <si>
    <t>k=it6::Prediction|a=format</t>
  </si>
  <si>
    <t>k=it6::Prediction|r=hasPredictionfeature|k=it6::PredictionFeature</t>
  </si>
  <si>
    <t>k=it6::PredictionFeature</t>
  </si>
  <si>
    <t>k=it6::PredictionFeature|a=title</t>
  </si>
  <si>
    <t>k=it6::PredictionFeature|a=type</t>
  </si>
  <si>
    <t>k=it6::QualityMeasurementDataset</t>
  </si>
  <si>
    <t>k=it6::QualityMeasurementDataset|a=evaluationEngine</t>
  </si>
  <si>
    <t>k=it6::QualityMeasurementDataset|a=identifier</t>
  </si>
  <si>
    <t>k=it6::Risk</t>
  </si>
  <si>
    <t>k=it6::Risk|a=description</t>
  </si>
  <si>
    <t>k=it6::Risk|a=mitigation</t>
  </si>
  <si>
    <t>k=it6::Risk|a=nature</t>
  </si>
  <si>
    <t>k=it6::Risk|a=probability</t>
  </si>
  <si>
    <t>k=it6::Risk|a=severity</t>
  </si>
  <si>
    <t>k=it6::Risk|a=source</t>
  </si>
  <si>
    <t>k=it6::Risk|a=title</t>
  </si>
  <si>
    <t>k=it6::Risk|a=type</t>
  </si>
  <si>
    <t>k=it6::Run</t>
  </si>
  <si>
    <t>k=it6::Run|a=errorMessage</t>
  </si>
  <si>
    <t>k=it6::Run|a=identifier</t>
  </si>
  <si>
    <t>k=it6::Run|a=keyword</t>
  </si>
  <si>
    <t>k=it6::Run|a=runDetails</t>
  </si>
  <si>
    <t>k=it6::Run|a=setupId</t>
  </si>
  <si>
    <t>k=it6::Run|a=setupString</t>
  </si>
  <si>
    <t>k=it6::Run|r=executes|k=mls::Algorithm</t>
  </si>
  <si>
    <t>k=it6::Run|r=hasEnvironmentalImpact|k=it6::EnvironmentalImpact</t>
  </si>
  <si>
    <t>k=it6::Run|r=hasEvaluation|k=it6::Evaluation</t>
  </si>
  <si>
    <t>k=it6::Run|r=hasFlow|k=it6::Flow</t>
  </si>
  <si>
    <t>k=it6::Run|r=hasHyperParameter|k=it6::Parameter</t>
  </si>
  <si>
    <t>k=it6::Run|r=hasOutputFileDescription|k=it6::OutputFileDescription</t>
  </si>
  <si>
    <t>k=it6::Run|r=hasOutputFilePrediction|k=it6::File</t>
  </si>
  <si>
    <t>k=it6::Run|r=hasTask|k=it6::Task</t>
  </si>
  <si>
    <t>k=it6::Run|r=hasUploader|k=foaf::Agent</t>
  </si>
  <si>
    <t>k=it6::RunCollection</t>
  </si>
  <si>
    <t>k=it6::RunCollection|r=hasRun|k=it6::Run</t>
  </si>
  <si>
    <t>k=it6::Split</t>
  </si>
  <si>
    <t>k=it6::Split|a=description</t>
  </si>
  <si>
    <t>k=it6::Split|a=identifier</t>
  </si>
  <si>
    <t>k=it6::Split|a=title</t>
  </si>
  <si>
    <t>k=it6::Split|r=isAppliedTo|k=dcat::Distribution</t>
  </si>
  <si>
    <t>k=it6::Task</t>
  </si>
  <si>
    <t>k=it6::Task|a=identifier</t>
  </si>
  <si>
    <t>k=it6::Task|a=keyword</t>
  </si>
  <si>
    <t>k=it6::Task|a=title</t>
  </si>
  <si>
    <t>k=it6::Task|r=hasCostMatrix|k=it6::CostMatrix</t>
  </si>
  <si>
    <t>k=it6::Task|r=hasEstimationProcedure|k=it6::EstimationProcedure</t>
  </si>
  <si>
    <t>k=it6::Task|r=hasEvaluationMeasure|k=it6::EvaluationMeasure</t>
  </si>
  <si>
    <t>k=it6::Task|r=hasOutput|k=it6::Prediction</t>
  </si>
  <si>
    <t>k=it6::Task|r=hasTaskType|k=it6::TaskType</t>
  </si>
  <si>
    <t>k=it6::Task|r=sourceData|k=dcat::Dataset</t>
  </si>
  <si>
    <t>k=it6::Task|r=targetFeature|k=it6::Feature</t>
  </si>
  <si>
    <t>k=it6::TaskCollection</t>
  </si>
  <si>
    <t>k=it6::TaskCollection|r=hasTask|k=it6::Task</t>
  </si>
  <si>
    <t>k=it6::TaskType</t>
  </si>
  <si>
    <t>k=it6::TaskType|a=description</t>
  </si>
  <si>
    <t>k=it6::TaskType|a=identifier</t>
  </si>
  <si>
    <t>k=it6::TaskType|a=title</t>
  </si>
  <si>
    <t>k=lpwcc::Paper</t>
  </si>
  <si>
    <t>k=lpwcc::Paper|a=abstract</t>
  </si>
  <si>
    <t>k=lpwcc::Paper|a=date</t>
  </si>
  <si>
    <t>k=lpwcc::Paper|a=hasDocument</t>
  </si>
  <si>
    <t>k=lpwcc::Paper|a=subject</t>
  </si>
  <si>
    <t>k=lpwcc::Paper|a=title</t>
  </si>
  <si>
    <t>k=lpwcc::Paper|r=creator|k=foaf::Agent</t>
  </si>
  <si>
    <t>k=lpwcc::Paper|r=hasModel|k=it6::MachineLearningModel</t>
  </si>
  <si>
    <t>k=lpwcc::Paper|r=hasRepository|k=lpwcc::Repository</t>
  </si>
  <si>
    <t>k=lpwcc::Paper|r=references|k=dcat::Dataset</t>
  </si>
  <si>
    <t>k=lpwcc::Repository</t>
  </si>
  <si>
    <t>k=lpwcc::Repository|a=title</t>
  </si>
  <si>
    <t>k=lpwcc::Repository|r=hasFile|k=it6::File</t>
  </si>
  <si>
    <t>k=mls::Algorithm</t>
  </si>
  <si>
    <t>k=mls::Algorithm|a=hasAlgorithmType</t>
  </si>
  <si>
    <t>k=mls::Algorithm|a=hasLearningMethodType</t>
  </si>
  <si>
    <t>k=odrl::Policy</t>
  </si>
  <si>
    <t>k=rdfs::Resource</t>
  </si>
  <si>
    <t>k=skos::Concept</t>
  </si>
  <si>
    <t>k=spdx::Checksum</t>
  </si>
  <si>
    <t>k=spdx::Checksum|a=algorithm</t>
  </si>
  <si>
    <t>k=spdx::Checksum|a=checksumValue</t>
  </si>
  <si>
    <t>k=spdx::ChecksumAlgorithm</t>
  </si>
  <si>
    <t>owl:annotatedTarget</t>
  </si>
  <si>
    <t>MLModel.citation</t>
  </si>
  <si>
    <t>MLModel.referencePublication</t>
  </si>
  <si>
    <t>MLModel.hasCO2eEmissions</t>
  </si>
  <si>
    <t>MLModel.modelRisksBiasLimitations</t>
  </si>
  <si>
    <t>MLModel.dateCreated</t>
  </si>
  <si>
    <t>MLModel.description</t>
  </si>
  <si>
    <t>MLModel.usageInstructions</t>
  </si>
  <si>
    <t>MLModel.intendedUse</t>
  </si>
  <si>
    <t>MLModel.keywords</t>
  </si>
  <si>
    <t>MLModel.inLanguage</t>
  </si>
  <si>
    <t>MLModel.dateModified</t>
  </si>
  <si>
    <t>MLModel.datePublished</t>
  </si>
  <si>
    <t>MLModel.name</t>
  </si>
  <si>
    <t>MLModel.modelCategory</t>
  </si>
  <si>
    <t>MLModel.version</t>
  </si>
  <si>
    <t>MLModel.contributor</t>
  </si>
  <si>
    <t>MLModel.author</t>
  </si>
  <si>
    <t>MLModel.fineTunedFrom</t>
  </si>
  <si>
    <t>MLModel.distribution</t>
  </si>
  <si>
    <t>MLModel.codeRepository</t>
  </si>
  <si>
    <t>MLModel.sharedBy</t>
  </si>
  <si>
    <t>MLModel.license</t>
  </si>
  <si>
    <t>MLModel.evaluatedOn</t>
  </si>
  <si>
    <t>MLModel.testedOn</t>
  </si>
  <si>
    <t>MLModel.trainedOn</t>
  </si>
  <si>
    <t>MLModel.validatedOn</t>
  </si>
  <si>
    <t>fair4ml:evaluationMetrics</t>
  </si>
  <si>
    <t>MLModelEvaluation.evaluationMetrics</t>
  </si>
  <si>
    <t>evaluation metrics</t>
  </si>
  <si>
    <t xml:space="preserve">MLDCAT-AP points to the class Evaluation instead of being a Text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</si>
</sst>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3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sz val="10"/>
      <color theme="1"/>
      <name val="Arial"/>
      <family val="2"/>
    </font>
    <font>
      <sz val="10"/>
      <name val="Arial"/>
      <family val="2"/>
      <scheme val="minor"/>
    </font>
    <font>
      <strike/>
      <u/>
      <sz val="11"/>
      <color rgb="FF1155CC"/>
      <name val="Calibri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CD668"/>
        <bgColor rgb="FFFFCC00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0"/>
  </cellStyleXfs>
  <cellXfs count="68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1" fillId="0" borderId="6" xfId="0" applyFont="1" applyBorder="1"/>
    <xf numFmtId="0" fontId="2" fillId="0" borderId="7" xfId="0" applyFont="1" applyBorder="1"/>
    <xf numFmtId="0" fontId="2" fillId="0" borderId="9" xfId="0" applyFont="1" applyBorder="1"/>
    <xf numFmtId="0" fontId="2" fillId="0" borderId="8" xfId="0" applyFont="1" applyBorder="1"/>
    <xf numFmtId="0" fontId="0" fillId="0" borderId="0" xfId="0" applyAlignment="1">
      <alignment horizontal="center"/>
    </xf>
    <xf numFmtId="0" fontId="7" fillId="2" borderId="8" xfId="0" applyFont="1" applyFill="1" applyBorder="1"/>
    <xf numFmtId="0" fontId="2" fillId="0" borderId="8" xfId="0" applyFont="1" applyBorder="1" applyAlignment="1">
      <alignment horizontal="center"/>
    </xf>
    <xf numFmtId="0" fontId="2" fillId="0" borderId="4" xfId="0" applyFont="1" applyBorder="1"/>
    <xf numFmtId="0" fontId="0" fillId="0" borderId="0" xfId="0" applyAlignment="1">
      <alignment wrapText="1"/>
    </xf>
    <xf numFmtId="0" fontId="1" fillId="0" borderId="11" xfId="0" applyFont="1" applyBorder="1"/>
    <xf numFmtId="0" fontId="2" fillId="0" borderId="0" xfId="0" applyFont="1"/>
    <xf numFmtId="0" fontId="2" fillId="0" borderId="5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8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8" xfId="1" applyFill="1" applyBorder="1" applyAlignment="1">
      <alignment horizontal="left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8" xfId="0" applyBorder="1"/>
    <xf numFmtId="49" fontId="2" fillId="0" borderId="8" xfId="0" quotePrefix="1" applyNumberFormat="1" applyFont="1" applyBorder="1"/>
    <xf numFmtId="0" fontId="1" fillId="0" borderId="8" xfId="0" applyFont="1" applyBorder="1"/>
    <xf numFmtId="164" fontId="2" fillId="0" borderId="8" xfId="0" applyNumberFormat="1" applyFont="1" applyBorder="1" applyAlignment="1">
      <alignment horizontal="right"/>
    </xf>
    <xf numFmtId="0" fontId="2" fillId="0" borderId="8" xfId="0" applyFont="1" applyBorder="1" applyAlignment="1">
      <alignment wrapText="1"/>
    </xf>
    <xf numFmtId="0" fontId="2" fillId="0" borderId="12" xfId="0" applyFont="1" applyBorder="1" applyAlignment="1">
      <alignment horizontal="center"/>
    </xf>
    <xf numFmtId="0" fontId="4" fillId="0" borderId="0" xfId="1"/>
    <xf numFmtId="0" fontId="4" fillId="0" borderId="8" xfId="1" applyBorder="1"/>
    <xf numFmtId="0" fontId="4" fillId="0" borderId="0" xfId="1" applyAlignment="1">
      <alignment horizontal="left" vertical="center" wrapText="1"/>
    </xf>
    <xf numFmtId="0" fontId="10" fillId="0" borderId="8" xfId="0" applyFont="1" applyBorder="1"/>
    <xf numFmtId="0" fontId="8" fillId="0" borderId="8" xfId="0" quotePrefix="1" applyFont="1" applyBorder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6" fillId="0" borderId="8" xfId="0" applyFont="1" applyBorder="1" applyAlignment="1">
      <alignment horizontal="center"/>
    </xf>
    <xf numFmtId="0" fontId="6" fillId="0" borderId="8" xfId="0" applyFont="1" applyBorder="1" applyAlignment="1">
      <alignment wrapText="1"/>
    </xf>
    <xf numFmtId="0" fontId="0" fillId="0" borderId="8" xfId="0" quotePrefix="1" applyBorder="1"/>
    <xf numFmtId="0" fontId="2" fillId="0" borderId="8" xfId="0" quotePrefix="1" applyFont="1" applyBorder="1" applyAlignment="1">
      <alignment horizontal="center"/>
    </xf>
    <xf numFmtId="0" fontId="3" fillId="0" borderId="8" xfId="0" applyFont="1" applyBorder="1"/>
    <xf numFmtId="0" fontId="5" fillId="2" borderId="14" xfId="0" applyFont="1" applyFill="1" applyBorder="1"/>
    <xf numFmtId="0" fontId="11" fillId="3" borderId="12" xfId="0" applyFont="1" applyFill="1" applyBorder="1"/>
    <xf numFmtId="0" fontId="5" fillId="2" borderId="14" xfId="0" applyFont="1" applyFill="1" applyBorder="1" applyAlignment="1">
      <alignment horizontal="left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/>
    <xf numFmtId="0" fontId="1" fillId="2" borderId="0" xfId="0" applyFont="1" applyFill="1"/>
    <xf numFmtId="0" fontId="1" fillId="2" borderId="12" xfId="0" applyFont="1" applyFill="1" applyBorder="1"/>
    <xf numFmtId="0" fontId="1" fillId="2" borderId="13" xfId="0" applyFont="1" applyFill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6" fillId="0" borderId="8" xfId="0" applyFont="1" applyBorder="1"/>
    <xf numFmtId="165" fontId="2" fillId="0" borderId="8" xfId="0" applyNumberFormat="1" applyFont="1" applyBorder="1" applyAlignment="1">
      <alignment horizontal="left"/>
    </xf>
    <xf numFmtId="0" fontId="4" fillId="0" borderId="8" xfId="1" applyFill="1" applyBorder="1"/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right"/>
    </xf>
    <xf numFmtId="0" fontId="7" fillId="0" borderId="8" xfId="0" applyFont="1" applyBorder="1" applyAlignment="1">
      <alignment wrapText="1"/>
    </xf>
    <xf numFmtId="0" fontId="6" fillId="0" borderId="8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9" fillId="0" borderId="8" xfId="0" applyFont="1" applyBorder="1" applyAlignment="1">
      <alignment wrapText="1"/>
    </xf>
    <xf numFmtId="0" fontId="6" fillId="0" borderId="8" xfId="2" applyBorder="1" applyAlignment="1">
      <alignment horizontal="left"/>
    </xf>
    <xf numFmtId="0" fontId="6" fillId="0" borderId="8" xfId="2" applyBorder="1" applyAlignment="1">
      <alignment horizontal="center"/>
    </xf>
    <xf numFmtId="165" fontId="2" fillId="0" borderId="8" xfId="2" applyNumberFormat="1" applyFont="1" applyBorder="1" applyAlignment="1">
      <alignment horizontal="right"/>
    </xf>
    <xf numFmtId="0" fontId="6" fillId="0" borderId="8" xfId="2" applyBorder="1"/>
    <xf numFmtId="0" fontId="2" fillId="0" borderId="8" xfId="2" applyFont="1" applyBorder="1"/>
    <xf numFmtId="0" fontId="1" fillId="2" borderId="14" xfId="0" applyFont="1" applyFill="1" applyBorder="1"/>
    <xf numFmtId="0" fontId="1" fillId="2" borderId="8" xfId="0" applyFont="1" applyFill="1" applyBorder="1"/>
    <xf numFmtId="0" fontId="12" fillId="0" borderId="8" xfId="0" applyFont="1" applyBorder="1"/>
    <xf numFmtId="0" fontId="0" fillId="0" borderId="8" xfId="0" applyBorder="1"/>
  </cellXfs>
  <cellStyles count="3">
    <cellStyle name="Hyperlink" xfId="1" builtinId="8"/>
    <cellStyle name="Normal" xfId="0" builtinId="0"/>
    <cellStyle name="Normal 2" xfId="2" xr:uid="{00FDA923-1756-4671-9968-5AF275D5C7CB}"/>
  </cellStyles>
  <dxfs count="0"/>
  <tableStyles count="0" defaultTableStyle="TableStyleMedium2" defaultPivotStyle="PivotStyleLight16"/>
  <colors>
    <mruColors>
      <color rgb="FFEFF2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3id.org/codemeta/" TargetMode="External"/><Relationship Id="rId7" Type="http://schemas.openxmlformats.org/officeDocument/2006/relationships/hyperlink" Target="https://w3id.org/fair4ml" TargetMode="External"/><Relationship Id="rId2" Type="http://schemas.openxmlformats.org/officeDocument/2006/relationships/hyperlink" Target="http://mapping.semic.eu/mldcat-ap/fair4ml/" TargetMode="External"/><Relationship Id="rId1" Type="http://schemas.openxmlformats.org/officeDocument/2006/relationships/hyperlink" Target="http://mapping.semic.eu/mldcat-ap/fair4ml" TargetMode="External"/><Relationship Id="rId6" Type="http://schemas.openxmlformats.org/officeDocument/2006/relationships/hyperlink" Target="http://data.europa.eu/it6/" TargetMode="External"/><Relationship Id="rId5" Type="http://schemas.openxmlformats.org/officeDocument/2006/relationships/hyperlink" Target="http://mapping.semic.eu/mldcat-ap/fair4ml" TargetMode="External"/><Relationship Id="rId4" Type="http://schemas.openxmlformats.org/officeDocument/2006/relationships/hyperlink" Target="http://schema.org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3id.org/fair4ml" TargetMode="External"/><Relationship Id="rId18" Type="http://schemas.openxmlformats.org/officeDocument/2006/relationships/hyperlink" Target="http://schema.org/codeRepository" TargetMode="External"/><Relationship Id="rId26" Type="http://schemas.openxmlformats.org/officeDocument/2006/relationships/hyperlink" Target="http://schema.org/keywords" TargetMode="External"/><Relationship Id="rId3" Type="http://schemas.openxmlformats.org/officeDocument/2006/relationships/hyperlink" Target="https://w3id.org/fair4ml" TargetMode="External"/><Relationship Id="rId21" Type="http://schemas.openxmlformats.org/officeDocument/2006/relationships/hyperlink" Target="http://schema.org/dateModified" TargetMode="External"/><Relationship Id="rId34" Type="http://schemas.openxmlformats.org/officeDocument/2006/relationships/hyperlink" Target="https://w3id.org/fair4ml" TargetMode="External"/><Relationship Id="rId7" Type="http://schemas.openxmlformats.org/officeDocument/2006/relationships/hyperlink" Target="https://w3id.org/fair4ml" TargetMode="External"/><Relationship Id="rId12" Type="http://schemas.openxmlformats.org/officeDocument/2006/relationships/hyperlink" Target="https://w3id.org/fair4ml" TargetMode="External"/><Relationship Id="rId17" Type="http://schemas.openxmlformats.org/officeDocument/2006/relationships/hyperlink" Target="http://schema.org/citation" TargetMode="External"/><Relationship Id="rId25" Type="http://schemas.openxmlformats.org/officeDocument/2006/relationships/hyperlink" Target="http://schema.org/inLanguage" TargetMode="External"/><Relationship Id="rId33" Type="http://schemas.openxmlformats.org/officeDocument/2006/relationships/hyperlink" Target="http://mapping.semic.eu/mldcat-ap/fair4ml/" TargetMode="External"/><Relationship Id="rId2" Type="http://schemas.openxmlformats.org/officeDocument/2006/relationships/hyperlink" Target="http://mapping.semic.eu/mldcat-ap/fair4ml" TargetMode="External"/><Relationship Id="rId16" Type="http://schemas.openxmlformats.org/officeDocument/2006/relationships/hyperlink" Target="http://schema.org/author" TargetMode="External"/><Relationship Id="rId20" Type="http://schemas.openxmlformats.org/officeDocument/2006/relationships/hyperlink" Target="http://schema.org/dateCreated" TargetMode="External"/><Relationship Id="rId29" Type="http://schemas.openxmlformats.org/officeDocument/2006/relationships/hyperlink" Target="http://schema.org/version" TargetMode="External"/><Relationship Id="rId1" Type="http://schemas.openxmlformats.org/officeDocument/2006/relationships/hyperlink" Target="https://w3id.org/fair4ml" TargetMode="External"/><Relationship Id="rId6" Type="http://schemas.openxmlformats.org/officeDocument/2006/relationships/hyperlink" Target="https://w3id.org/fair4ml" TargetMode="External"/><Relationship Id="rId11" Type="http://schemas.openxmlformats.org/officeDocument/2006/relationships/hyperlink" Target="https://w3id.org/fair4ml" TargetMode="External"/><Relationship Id="rId24" Type="http://schemas.openxmlformats.org/officeDocument/2006/relationships/hyperlink" Target="http://schema.org/distribution" TargetMode="External"/><Relationship Id="rId32" Type="http://schemas.openxmlformats.org/officeDocument/2006/relationships/hyperlink" Target="http://schema.org/" TargetMode="External"/><Relationship Id="rId5" Type="http://schemas.openxmlformats.org/officeDocument/2006/relationships/hyperlink" Target="https://w3id.org/fair4ml" TargetMode="External"/><Relationship Id="rId15" Type="http://schemas.openxmlformats.org/officeDocument/2006/relationships/hyperlink" Target="https://w3id.org/fair4ml" TargetMode="External"/><Relationship Id="rId23" Type="http://schemas.openxmlformats.org/officeDocument/2006/relationships/hyperlink" Target="http://schema.org/description" TargetMode="External"/><Relationship Id="rId28" Type="http://schemas.openxmlformats.org/officeDocument/2006/relationships/hyperlink" Target="http://schema.org/name" TargetMode="External"/><Relationship Id="rId10" Type="http://schemas.openxmlformats.org/officeDocument/2006/relationships/hyperlink" Target="https://w3id.org/fair4ml" TargetMode="External"/><Relationship Id="rId19" Type="http://schemas.openxmlformats.org/officeDocument/2006/relationships/hyperlink" Target="http://schema.org/contributor" TargetMode="External"/><Relationship Id="rId31" Type="http://schemas.openxmlformats.org/officeDocument/2006/relationships/hyperlink" Target="https://w3id.org/codemeta/" TargetMode="External"/><Relationship Id="rId4" Type="http://schemas.openxmlformats.org/officeDocument/2006/relationships/hyperlink" Target="https://w3id.org/fair4ml" TargetMode="External"/><Relationship Id="rId9" Type="http://schemas.openxmlformats.org/officeDocument/2006/relationships/hyperlink" Target="https://w3id.org/fair4ml" TargetMode="External"/><Relationship Id="rId14" Type="http://schemas.openxmlformats.org/officeDocument/2006/relationships/hyperlink" Target="https://w3id.org/fair4ml" TargetMode="External"/><Relationship Id="rId22" Type="http://schemas.openxmlformats.org/officeDocument/2006/relationships/hyperlink" Target="http://schema.org/datePublished" TargetMode="External"/><Relationship Id="rId27" Type="http://schemas.openxmlformats.org/officeDocument/2006/relationships/hyperlink" Target="http://schema.org/license" TargetMode="External"/><Relationship Id="rId30" Type="http://schemas.openxmlformats.org/officeDocument/2006/relationships/hyperlink" Target="https://w3id.org/codemeta/referencePublication" TargetMode="External"/><Relationship Id="rId35" Type="http://schemas.openxmlformats.org/officeDocument/2006/relationships/printerSettings" Target="../printerSettings/printerSettings2.bin"/><Relationship Id="rId8" Type="http://schemas.openxmlformats.org/officeDocument/2006/relationships/hyperlink" Target="https://w3id.org/fair4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6"/>
  <sheetViews>
    <sheetView workbookViewId="0">
      <selection activeCell="G16" sqref="G16"/>
    </sheetView>
  </sheetViews>
  <sheetFormatPr defaultColWidth="12.54296875" defaultRowHeight="15.75" customHeight="1" x14ac:dyDescent="0.25"/>
  <cols>
    <col min="1" max="1" width="20.54296875" customWidth="1"/>
    <col min="2" max="2" width="38.7265625" customWidth="1"/>
    <col min="3" max="3" width="35.453125" customWidth="1"/>
    <col min="4" max="4" width="16.54296875" bestFit="1" customWidth="1"/>
    <col min="5" max="5" width="85.7265625" customWidth="1"/>
    <col min="6" max="6" width="28" bestFit="1" customWidth="1"/>
    <col min="7" max="7" width="27" bestFit="1" customWidth="1"/>
  </cols>
  <sheetData>
    <row r="1" spans="1:7" ht="13" x14ac:dyDescent="0.3">
      <c r="A1" s="26" t="s">
        <v>0</v>
      </c>
      <c r="B1" s="30" t="s">
        <v>466</v>
      </c>
      <c r="C1" s="8"/>
      <c r="D1" s="8"/>
      <c r="E1" s="8"/>
      <c r="F1" s="8"/>
      <c r="G1" s="8"/>
    </row>
    <row r="2" spans="1:7" ht="13" x14ac:dyDescent="0.3">
      <c r="A2" s="26" t="s">
        <v>1</v>
      </c>
      <c r="B2" s="8" t="s">
        <v>2</v>
      </c>
      <c r="C2" s="24" t="s">
        <v>3</v>
      </c>
      <c r="D2" s="8"/>
      <c r="E2" s="8"/>
      <c r="F2" s="8"/>
      <c r="G2" s="8"/>
    </row>
    <row r="3" spans="1:7" ht="13" x14ac:dyDescent="0.3">
      <c r="A3" s="26" t="s">
        <v>1</v>
      </c>
      <c r="B3" s="8" t="s">
        <v>4</v>
      </c>
      <c r="C3" s="24" t="s">
        <v>5</v>
      </c>
      <c r="D3" s="8"/>
      <c r="E3" s="8"/>
      <c r="F3" s="8"/>
      <c r="G3" s="8"/>
    </row>
    <row r="4" spans="1:7" ht="13" x14ac:dyDescent="0.3">
      <c r="A4" s="26" t="s">
        <v>1</v>
      </c>
      <c r="B4" s="12" t="s">
        <v>504</v>
      </c>
      <c r="C4" s="30" t="s">
        <v>503</v>
      </c>
      <c r="D4" s="8"/>
      <c r="E4" s="8"/>
      <c r="F4" s="8"/>
      <c r="G4" s="8"/>
    </row>
    <row r="5" spans="1:7" ht="13" x14ac:dyDescent="0.3">
      <c r="A5" s="26" t="s">
        <v>1</v>
      </c>
      <c r="B5" s="8" t="s">
        <v>500</v>
      </c>
      <c r="C5" s="30" t="s">
        <v>502</v>
      </c>
      <c r="D5" s="8"/>
      <c r="E5" s="8"/>
      <c r="F5" s="8"/>
      <c r="G5" s="8"/>
    </row>
    <row r="6" spans="1:7" ht="13" x14ac:dyDescent="0.3">
      <c r="A6" s="26" t="s">
        <v>1</v>
      </c>
      <c r="B6" s="8" t="s">
        <v>499</v>
      </c>
      <c r="C6" s="30" t="s">
        <v>501</v>
      </c>
      <c r="D6" s="8"/>
      <c r="E6" s="8"/>
      <c r="F6" s="8"/>
      <c r="G6" s="8"/>
    </row>
    <row r="7" spans="1:7" ht="13" x14ac:dyDescent="0.3">
      <c r="A7" s="26" t="s">
        <v>6</v>
      </c>
      <c r="B7" s="8" t="s">
        <v>19</v>
      </c>
      <c r="C7" s="8"/>
      <c r="D7" s="8"/>
      <c r="E7" s="8"/>
      <c r="F7" s="8"/>
      <c r="G7" s="8"/>
    </row>
    <row r="8" spans="1:7" ht="13" x14ac:dyDescent="0.3">
      <c r="A8" s="26" t="s">
        <v>7</v>
      </c>
      <c r="B8" s="27">
        <v>45701</v>
      </c>
      <c r="C8" s="8"/>
      <c r="D8" s="8"/>
      <c r="E8" s="8"/>
      <c r="F8" s="8"/>
      <c r="G8" s="8"/>
    </row>
    <row r="9" spans="1:7" ht="13" x14ac:dyDescent="0.3">
      <c r="A9" s="26" t="s">
        <v>25</v>
      </c>
      <c r="B9" s="67" t="s">
        <v>8</v>
      </c>
      <c r="C9" s="67"/>
      <c r="D9" s="8"/>
      <c r="E9" s="8"/>
      <c r="F9" s="8"/>
      <c r="G9" s="8"/>
    </row>
    <row r="10" spans="1:7" ht="13" x14ac:dyDescent="0.3">
      <c r="A10" s="26" t="s">
        <v>9</v>
      </c>
      <c r="B10" s="24" t="s">
        <v>10</v>
      </c>
      <c r="C10" s="8"/>
      <c r="D10" s="8"/>
      <c r="E10" s="8"/>
      <c r="F10" s="8"/>
      <c r="G10" s="8"/>
    </row>
    <row r="11" spans="1:7" ht="13" x14ac:dyDescent="0.3">
      <c r="A11" s="26" t="s">
        <v>11</v>
      </c>
      <c r="B11" s="8" t="s">
        <v>505</v>
      </c>
      <c r="C11" s="8"/>
      <c r="D11" s="8"/>
      <c r="E11" s="8"/>
      <c r="F11" s="8"/>
      <c r="G11" s="8"/>
    </row>
    <row r="12" spans="1:7" ht="76.400000000000006" customHeight="1" x14ac:dyDescent="0.3">
      <c r="A12" s="26" t="s">
        <v>12</v>
      </c>
      <c r="B12" s="28" t="s">
        <v>506</v>
      </c>
      <c r="C12" s="8"/>
      <c r="D12" s="8"/>
      <c r="E12" s="8"/>
      <c r="F12" s="8"/>
      <c r="G12" s="8"/>
    </row>
    <row r="13" spans="1:7" ht="15.75" customHeight="1" x14ac:dyDescent="0.25">
      <c r="A13" s="8"/>
      <c r="B13" s="8"/>
      <c r="C13" s="8"/>
      <c r="D13" s="8"/>
      <c r="E13" s="8"/>
      <c r="F13" s="8"/>
      <c r="G13" s="8"/>
    </row>
    <row r="14" spans="1:7" ht="15.75" customHeight="1" x14ac:dyDescent="0.25">
      <c r="A14" s="8"/>
      <c r="B14" s="8"/>
      <c r="C14" s="8"/>
      <c r="D14" s="8"/>
      <c r="E14" s="8"/>
      <c r="F14" s="8"/>
      <c r="G14" s="8"/>
    </row>
    <row r="15" spans="1:7" ht="15.75" customHeight="1" x14ac:dyDescent="0.3">
      <c r="A15" s="10" t="s">
        <v>13</v>
      </c>
      <c r="B15" s="10" t="s">
        <v>6</v>
      </c>
      <c r="C15" s="10" t="s">
        <v>14</v>
      </c>
      <c r="D15" s="10" t="s">
        <v>15</v>
      </c>
      <c r="E15" s="10" t="s">
        <v>16</v>
      </c>
      <c r="F15" s="10" t="s">
        <v>17</v>
      </c>
      <c r="G15" s="10" t="s">
        <v>18</v>
      </c>
    </row>
    <row r="16" spans="1:7" ht="123" customHeight="1" x14ac:dyDescent="0.25">
      <c r="A16" s="30" t="s">
        <v>466</v>
      </c>
      <c r="B16" s="8" t="s">
        <v>19</v>
      </c>
      <c r="C16" s="31" t="s">
        <v>507</v>
      </c>
      <c r="D16" s="32" t="s">
        <v>465</v>
      </c>
      <c r="E16" s="22" t="str" cm="1">
        <f t="array" aca="1" ref="E16" ca="1">ConcatNoStrike(mapping!A11:A322,",")</f>
        <v>mldcat-ap-fair:cell/7,mldcat-ap-fair:cell/9,mldcat-ap-fair:cell/115,mldcat-ap-fair:cell/183,mldcat-ap-fair:cell/184,mldcat-ap-fair:cell/185,mldcat-ap-fair:cell/189,mldcat-ap-fair:cell/190,mldcat-ap-fair:cell/191,mldcat-ap-fair:cell/192,mldcat-ap-fair:cell/193,mldcat-ap-fair:cell/194,mldcat-ap-fair:cell/195,mldcat-ap-fair:cell/198,mldcat-ap-fair:cell/201,mldcat-ap-fair:cell/202,mldcat-ap-fair:cell/203,mldcat-ap-fair:cell/204,mldcat-ap-fair:cell/205,mldcat-ap-fair:cell/209,mldcat-ap-fair:cell/213,mldcat-ap-fair:cell/214,mldcat-ap-fair:cell/215,mldcat-ap-fair:cell/217,mldcat-ap-fair:cell/219,mldcat-ap-fair:cell/220,mldcat-ap-fair:cell/221,mldcat-ap-fair:cell/222,mldcat-ap-fair:cell/259,</v>
      </c>
      <c r="F16" s="25" t="s">
        <v>508</v>
      </c>
      <c r="G16" s="25" t="s">
        <v>509</v>
      </c>
    </row>
  </sheetData>
  <mergeCells count="1">
    <mergeCell ref="B9:C9"/>
  </mergeCells>
  <hyperlinks>
    <hyperlink ref="B1" r:id="rId1" xr:uid="{1D2D477E-3531-4DDD-9F87-56457AD36934}"/>
    <hyperlink ref="C4" r:id="rId2" xr:uid="{1E0F5A77-0E96-440F-B4CB-59534DBECEB4}"/>
    <hyperlink ref="C6" r:id="rId3" xr:uid="{7E419218-F9FA-44BA-B9FB-A478ECE45101}"/>
    <hyperlink ref="C5" r:id="rId4" xr:uid="{0474C08A-D5AC-4E79-9B19-26F2985017B0}"/>
    <hyperlink ref="A16" r:id="rId5" xr:uid="{BC698813-49F4-4E18-B4A9-41D5A07950BB}"/>
    <hyperlink ref="C16" r:id="rId6" xr:uid="{AE07E9FE-4DFB-479E-A367-4035A1C3B678}"/>
    <hyperlink ref="D16" r:id="rId7" display="https://w3id.org/fair4ml" xr:uid="{59B1A93B-7187-4919-9D04-6C61C0623785}"/>
  </hyperlinks>
  <pageMargins left="0.7" right="0.7" top="0.75" bottom="0.75" header="0.3" footer="0.3"/>
  <pageSetup paperSize="9" orientation="portrait" verticalDpi="0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N322"/>
  <sheetViews>
    <sheetView tabSelected="1" workbookViewId="0">
      <selection activeCell="D10" sqref="D10"/>
    </sheetView>
  </sheetViews>
  <sheetFormatPr defaultColWidth="12.54296875" defaultRowHeight="15.75" customHeight="1" x14ac:dyDescent="0.25"/>
  <cols>
    <col min="1" max="1" width="24.54296875" customWidth="1"/>
    <col min="2" max="2" width="13.6328125" customWidth="1"/>
    <col min="3" max="3" width="52.7265625" bestFit="1" customWidth="1"/>
    <col min="4" max="5" width="52.7265625" customWidth="1"/>
    <col min="6" max="6" width="36" style="20" bestFit="1" customWidth="1"/>
    <col min="7" max="8" width="36" style="20" customWidth="1"/>
    <col min="9" max="9" width="12.54296875" style="9"/>
    <col min="10" max="10" width="23.26953125" bestFit="1" customWidth="1"/>
    <col min="11" max="11" width="21.26953125" bestFit="1" customWidth="1"/>
    <col min="12" max="12" width="25.7265625" bestFit="1" customWidth="1"/>
    <col min="13" max="13" width="67.7265625" style="13" customWidth="1"/>
    <col min="14" max="14" width="45.26953125" style="13" customWidth="1"/>
  </cols>
  <sheetData>
    <row r="1" spans="1:14" ht="13" x14ac:dyDescent="0.3">
      <c r="A1" s="1" t="s">
        <v>0</v>
      </c>
      <c r="B1" s="30" t="s">
        <v>466</v>
      </c>
      <c r="C1" s="8"/>
      <c r="D1" s="8"/>
      <c r="E1" s="24"/>
      <c r="F1" s="16"/>
      <c r="G1" s="19"/>
      <c r="H1" s="19"/>
      <c r="I1" s="11"/>
      <c r="J1" s="2"/>
      <c r="K1" s="4"/>
      <c r="L1" s="8"/>
      <c r="M1" s="23"/>
      <c r="N1" s="22"/>
    </row>
    <row r="2" spans="1:14" ht="13" x14ac:dyDescent="0.3">
      <c r="A2" s="5" t="s">
        <v>1</v>
      </c>
      <c r="B2" s="6" t="s">
        <v>2</v>
      </c>
      <c r="C2" s="24" t="s">
        <v>3</v>
      </c>
      <c r="D2" s="24"/>
      <c r="E2" s="24"/>
      <c r="F2" s="17"/>
      <c r="G2" s="19"/>
      <c r="H2" s="19"/>
      <c r="I2" s="11"/>
      <c r="J2" s="3"/>
      <c r="K2" s="6"/>
      <c r="L2" s="8"/>
      <c r="M2" s="23"/>
      <c r="N2" s="22"/>
    </row>
    <row r="3" spans="1:14" ht="13" x14ac:dyDescent="0.3">
      <c r="A3" s="1" t="s">
        <v>1</v>
      </c>
      <c r="B3" s="12" t="s">
        <v>504</v>
      </c>
      <c r="C3" s="30" t="s">
        <v>503</v>
      </c>
      <c r="D3" s="30"/>
      <c r="E3" s="24"/>
      <c r="F3" s="17"/>
      <c r="G3" s="19"/>
      <c r="H3" s="19"/>
      <c r="I3" s="11"/>
      <c r="J3" s="3"/>
      <c r="K3" s="6"/>
      <c r="L3" s="8"/>
      <c r="M3" s="23"/>
      <c r="N3" s="22"/>
    </row>
    <row r="4" spans="1:14" ht="13" x14ac:dyDescent="0.3">
      <c r="A4" s="5" t="s">
        <v>1</v>
      </c>
      <c r="B4" s="6" t="s">
        <v>4</v>
      </c>
      <c r="C4" s="24" t="s">
        <v>5</v>
      </c>
      <c r="D4" s="24"/>
      <c r="E4" s="24"/>
      <c r="F4" s="17"/>
      <c r="G4" s="19"/>
      <c r="H4" s="19"/>
      <c r="I4" s="11"/>
      <c r="J4" s="3"/>
      <c r="K4" s="6"/>
      <c r="L4" s="8"/>
      <c r="M4" s="23"/>
      <c r="N4" s="22"/>
    </row>
    <row r="5" spans="1:14" ht="15.75" customHeight="1" x14ac:dyDescent="0.3">
      <c r="A5" s="14" t="s">
        <v>1</v>
      </c>
      <c r="B5" s="15" t="s">
        <v>28</v>
      </c>
      <c r="C5" s="24" t="s">
        <v>29</v>
      </c>
      <c r="D5" s="24"/>
      <c r="E5" s="24"/>
      <c r="F5" s="18"/>
      <c r="G5" s="19"/>
      <c r="H5" s="19"/>
      <c r="I5" s="29"/>
      <c r="J5" s="7"/>
      <c r="K5" s="6"/>
      <c r="L5" s="8"/>
      <c r="M5" s="23"/>
      <c r="N5" s="22"/>
    </row>
    <row r="6" spans="1:14" ht="15.75" customHeight="1" x14ac:dyDescent="0.3">
      <c r="A6" s="26" t="s">
        <v>1</v>
      </c>
      <c r="B6" s="8" t="s">
        <v>500</v>
      </c>
      <c r="C6" s="31" t="s">
        <v>502</v>
      </c>
      <c r="D6" s="31"/>
      <c r="E6" s="24"/>
      <c r="F6" s="19"/>
      <c r="G6" s="19"/>
      <c r="H6" s="19"/>
      <c r="I6" s="11"/>
      <c r="J6" s="8"/>
      <c r="K6" s="6"/>
      <c r="L6" s="8"/>
      <c r="M6" s="23"/>
      <c r="N6" s="22"/>
    </row>
    <row r="7" spans="1:14" ht="15.75" customHeight="1" x14ac:dyDescent="0.3">
      <c r="A7" s="26" t="s">
        <v>1</v>
      </c>
      <c r="B7" s="8" t="s">
        <v>499</v>
      </c>
      <c r="C7" s="31" t="s">
        <v>501</v>
      </c>
      <c r="D7" s="31"/>
      <c r="E7" s="24"/>
      <c r="F7" s="19"/>
      <c r="G7" s="19"/>
      <c r="H7" s="19"/>
      <c r="I7" s="11"/>
      <c r="J7" s="8"/>
      <c r="K7" s="6"/>
      <c r="L7" s="8"/>
      <c r="M7" s="23"/>
      <c r="N7" s="22"/>
    </row>
    <row r="8" spans="1:14" ht="15.75" customHeight="1" x14ac:dyDescent="0.3">
      <c r="A8" s="26" t="s">
        <v>1</v>
      </c>
      <c r="B8" s="8" t="s">
        <v>464</v>
      </c>
      <c r="C8" s="31" t="s">
        <v>465</v>
      </c>
      <c r="D8" s="31"/>
      <c r="E8" s="24"/>
      <c r="F8" s="19"/>
      <c r="G8" s="19"/>
      <c r="H8" s="19"/>
      <c r="I8" s="11"/>
      <c r="J8" s="8"/>
      <c r="K8" s="6"/>
      <c r="L8" s="8"/>
      <c r="M8" s="23"/>
      <c r="N8" s="22"/>
    </row>
    <row r="9" spans="1:14" ht="15.75" customHeight="1" x14ac:dyDescent="0.25">
      <c r="A9" s="8"/>
      <c r="B9" s="8"/>
      <c r="C9" s="8"/>
      <c r="D9" s="8"/>
      <c r="E9" s="8"/>
      <c r="F9" s="19"/>
      <c r="G9" s="19"/>
      <c r="H9" s="19"/>
      <c r="I9" s="11"/>
      <c r="J9" s="8"/>
      <c r="K9" s="6"/>
      <c r="L9" s="8"/>
      <c r="M9" s="23"/>
      <c r="N9" s="22"/>
    </row>
    <row r="10" spans="1:14" ht="15.75" customHeight="1" x14ac:dyDescent="0.3">
      <c r="A10" s="41" t="s">
        <v>13</v>
      </c>
      <c r="B10" s="41" t="s">
        <v>6</v>
      </c>
      <c r="C10" s="41" t="s">
        <v>20</v>
      </c>
      <c r="D10" s="65" t="s">
        <v>525</v>
      </c>
      <c r="E10" s="42" t="s">
        <v>462</v>
      </c>
      <c r="F10" s="43" t="s">
        <v>21</v>
      </c>
      <c r="G10" s="64" t="s">
        <v>838</v>
      </c>
      <c r="H10" s="42" t="s">
        <v>463</v>
      </c>
      <c r="I10" s="44" t="s">
        <v>22</v>
      </c>
      <c r="J10" s="45" t="s">
        <v>23</v>
      </c>
      <c r="K10" s="46" t="s">
        <v>30</v>
      </c>
      <c r="L10" s="47" t="s">
        <v>27</v>
      </c>
      <c r="M10" s="48" t="s">
        <v>12</v>
      </c>
      <c r="N10" s="49" t="s">
        <v>26</v>
      </c>
    </row>
    <row r="11" spans="1:14" ht="15.75" customHeight="1" x14ac:dyDescent="0.35">
      <c r="A11" s="33" t="str">
        <f>CONCATENATE("mldcat-ap-fair:","cell/",ROWS(A$11:A11))</f>
        <v>mldcat-ap-fair:cell/1</v>
      </c>
      <c r="B11" s="8" t="s">
        <v>24</v>
      </c>
      <c r="C11" s="38" t="s">
        <v>85</v>
      </c>
      <c r="D11" s="66" t="s">
        <v>526</v>
      </c>
      <c r="E11" s="38" t="s">
        <v>249</v>
      </c>
      <c r="F11" s="21"/>
      <c r="G11" s="21"/>
      <c r="H11" s="21"/>
      <c r="I11" s="34"/>
      <c r="J11" s="35"/>
      <c r="K11" s="50"/>
      <c r="L11" s="8"/>
      <c r="M11" s="37"/>
      <c r="N11" s="22"/>
    </row>
    <row r="12" spans="1:14" ht="15.75" customHeight="1" x14ac:dyDescent="0.35">
      <c r="A12" s="33" t="str">
        <f>CONCATENATE("mldcat-ap-fair:","cell/",ROWS(A$11:A12))</f>
        <v>mldcat-ap-fair:cell/2</v>
      </c>
      <c r="B12" s="8" t="s">
        <v>24</v>
      </c>
      <c r="C12" s="38" t="s">
        <v>85</v>
      </c>
      <c r="D12" s="66" t="s">
        <v>527</v>
      </c>
      <c r="E12" s="38" t="s">
        <v>250</v>
      </c>
      <c r="F12" s="21"/>
      <c r="G12" s="21"/>
      <c r="H12" s="21"/>
      <c r="I12" s="34"/>
      <c r="J12" s="35"/>
      <c r="K12" s="50"/>
      <c r="L12" s="8"/>
      <c r="M12" s="37"/>
      <c r="N12" s="22"/>
    </row>
    <row r="13" spans="1:14" ht="15.75" customHeight="1" x14ac:dyDescent="0.35">
      <c r="A13" s="33" t="str">
        <f>CONCATENATE("mldcat-ap-fair:","cell/",ROWS(A$11:A13))</f>
        <v>mldcat-ap-fair:cell/3</v>
      </c>
      <c r="B13" s="8" t="s">
        <v>24</v>
      </c>
      <c r="C13" s="38" t="s">
        <v>86</v>
      </c>
      <c r="D13" s="66" t="s">
        <v>528</v>
      </c>
      <c r="E13" s="38" t="s">
        <v>251</v>
      </c>
      <c r="F13" s="21"/>
      <c r="G13" s="21"/>
      <c r="H13" s="21"/>
      <c r="I13" s="36"/>
      <c r="J13" s="35"/>
      <c r="K13" s="50"/>
      <c r="L13" s="8"/>
      <c r="M13" s="22"/>
      <c r="N13" s="37"/>
    </row>
    <row r="14" spans="1:14" ht="15.75" customHeight="1" x14ac:dyDescent="0.35">
      <c r="A14" s="33" t="str">
        <f>CONCATENATE("mldcat-ap-fair:","cell/",ROWS(A$11:A14))</f>
        <v>mldcat-ap-fair:cell/4</v>
      </c>
      <c r="B14" s="8" t="s">
        <v>24</v>
      </c>
      <c r="C14" s="38" t="s">
        <v>87</v>
      </c>
      <c r="D14" s="66" t="s">
        <v>529</v>
      </c>
      <c r="E14" s="38" t="s">
        <v>252</v>
      </c>
      <c r="F14" s="38"/>
      <c r="G14" s="38"/>
      <c r="H14" s="38"/>
      <c r="I14" s="39"/>
      <c r="J14" s="35"/>
      <c r="K14" s="8"/>
      <c r="L14" s="8"/>
      <c r="M14" s="22"/>
      <c r="N14" s="37"/>
    </row>
    <row r="15" spans="1:14" ht="15.75" customHeight="1" x14ac:dyDescent="0.35">
      <c r="A15" s="33" t="str">
        <f>CONCATENATE("mldcat-ap-fair:","cell/",ROWS(A$11:A15))</f>
        <v>mldcat-ap-fair:cell/5</v>
      </c>
      <c r="B15" s="8" t="s">
        <v>24</v>
      </c>
      <c r="C15" s="38" t="s">
        <v>88</v>
      </c>
      <c r="D15" s="66" t="s">
        <v>530</v>
      </c>
      <c r="E15" s="38" t="s">
        <v>253</v>
      </c>
      <c r="F15" s="51"/>
      <c r="G15" s="56"/>
      <c r="H15" s="51"/>
      <c r="I15" s="39"/>
      <c r="J15" s="35"/>
      <c r="K15" s="8"/>
      <c r="L15" s="8"/>
      <c r="M15" s="22"/>
      <c r="N15" s="37"/>
    </row>
    <row r="16" spans="1:14" ht="15.75" customHeight="1" x14ac:dyDescent="0.35">
      <c r="A16" s="33" t="str">
        <f>CONCATENATE("mldcat-ap-fair:","cell/",ROWS(A$11:A16))</f>
        <v>mldcat-ap-fair:cell/6</v>
      </c>
      <c r="B16" s="8" t="s">
        <v>24</v>
      </c>
      <c r="C16" s="38" t="s">
        <v>38</v>
      </c>
      <c r="D16" s="66" t="s">
        <v>531</v>
      </c>
      <c r="E16" s="38" t="s">
        <v>254</v>
      </c>
      <c r="F16" s="51"/>
      <c r="G16" s="56"/>
      <c r="H16" s="51"/>
      <c r="I16" s="39"/>
      <c r="J16" s="35"/>
      <c r="K16" s="8"/>
      <c r="L16" s="8"/>
      <c r="M16" s="22"/>
      <c r="N16" s="37"/>
    </row>
    <row r="17" spans="1:14" ht="15.75" customHeight="1" x14ac:dyDescent="0.35">
      <c r="A17" s="40" t="str">
        <f>CONCATENATE("mldcat-ap-fair:","cell/",ROWS(A$11:A17))</f>
        <v>mldcat-ap-fair:cell/7</v>
      </c>
      <c r="B17" s="8" t="s">
        <v>24</v>
      </c>
      <c r="C17" s="38" t="s">
        <v>89</v>
      </c>
      <c r="D17" s="66" t="s">
        <v>532</v>
      </c>
      <c r="E17" s="38" t="s">
        <v>255</v>
      </c>
      <c r="F17" s="52" t="s">
        <v>483</v>
      </c>
      <c r="G17" s="56" t="s">
        <v>839</v>
      </c>
      <c r="H17" s="56" t="s">
        <v>511</v>
      </c>
      <c r="I17" s="36" t="s">
        <v>55</v>
      </c>
      <c r="J17" s="54">
        <v>1</v>
      </c>
      <c r="K17" s="24" t="s">
        <v>73</v>
      </c>
      <c r="L17" s="8"/>
      <c r="M17" s="22"/>
      <c r="N17" s="37"/>
    </row>
    <row r="18" spans="1:14" ht="14.5" x14ac:dyDescent="0.35">
      <c r="A18" s="33" t="str">
        <f>CONCATENATE("mldcat-ap-fair:","cell/",ROWS(A$11:A18))</f>
        <v>mldcat-ap-fair:cell/8</v>
      </c>
      <c r="B18" s="8" t="s">
        <v>24</v>
      </c>
      <c r="C18" s="38" t="s">
        <v>79</v>
      </c>
      <c r="D18" s="66" t="s">
        <v>533</v>
      </c>
      <c r="E18" s="38" t="s">
        <v>256</v>
      </c>
      <c r="F18" s="51"/>
      <c r="G18" s="56"/>
      <c r="H18" s="51"/>
      <c r="I18" s="39"/>
      <c r="J18" s="35"/>
      <c r="K18" s="8"/>
      <c r="L18" s="8"/>
      <c r="M18" s="22"/>
      <c r="N18" s="37"/>
    </row>
    <row r="19" spans="1:14" ht="15.75" customHeight="1" x14ac:dyDescent="0.35">
      <c r="A19" s="40" t="str">
        <f>CONCATENATE("mldcat-ap-fair:","cell/",ROWS(A$11:A19))</f>
        <v>mldcat-ap-fair:cell/9</v>
      </c>
      <c r="B19" s="8" t="s">
        <v>24</v>
      </c>
      <c r="C19" s="38" t="s">
        <v>90</v>
      </c>
      <c r="D19" s="66" t="s">
        <v>534</v>
      </c>
      <c r="E19" s="38" t="s">
        <v>257</v>
      </c>
      <c r="F19" s="52" t="s">
        <v>498</v>
      </c>
      <c r="G19" s="56" t="s">
        <v>840</v>
      </c>
      <c r="H19" s="51" t="s">
        <v>512</v>
      </c>
      <c r="I19" s="36" t="s">
        <v>55</v>
      </c>
      <c r="J19" s="54">
        <v>1</v>
      </c>
      <c r="K19" s="24" t="s">
        <v>73</v>
      </c>
      <c r="L19" s="8"/>
      <c r="M19" s="22"/>
      <c r="N19" s="37"/>
    </row>
    <row r="20" spans="1:14" ht="15.75" customHeight="1" x14ac:dyDescent="0.35">
      <c r="A20" s="33" t="str">
        <f>CONCATENATE("mldcat-ap-fair:","cell/",ROWS(A$11:A20))</f>
        <v>mldcat-ap-fair:cell/10</v>
      </c>
      <c r="B20" s="8" t="s">
        <v>24</v>
      </c>
      <c r="C20" s="38" t="s">
        <v>46</v>
      </c>
      <c r="D20" s="66" t="s">
        <v>535</v>
      </c>
      <c r="E20" s="38" t="s">
        <v>258</v>
      </c>
      <c r="F20" s="51"/>
      <c r="G20" s="56"/>
      <c r="H20" s="51"/>
      <c r="I20" s="39"/>
      <c r="J20" s="35"/>
      <c r="K20" s="8"/>
      <c r="L20" s="8"/>
      <c r="M20" s="22"/>
      <c r="N20" s="37"/>
    </row>
    <row r="21" spans="1:14" ht="15.75" customHeight="1" x14ac:dyDescent="0.35">
      <c r="A21" s="33" t="str">
        <f>CONCATENATE("mldcat-ap-fair:","cell/",ROWS(A$11:A21))</f>
        <v>mldcat-ap-fair:cell/11</v>
      </c>
      <c r="B21" s="8" t="s">
        <v>24</v>
      </c>
      <c r="C21" s="38" t="s">
        <v>33</v>
      </c>
      <c r="D21" s="66" t="s">
        <v>536</v>
      </c>
      <c r="E21" s="38" t="s">
        <v>259</v>
      </c>
      <c r="F21" s="51"/>
      <c r="G21" s="56"/>
      <c r="H21" s="51"/>
      <c r="I21" s="39"/>
      <c r="J21" s="35"/>
      <c r="K21" s="8"/>
      <c r="L21" s="8"/>
      <c r="M21" s="22"/>
      <c r="N21" s="37"/>
    </row>
    <row r="22" spans="1:14" ht="15.75" customHeight="1" x14ac:dyDescent="0.35">
      <c r="A22" s="33" t="str">
        <f>CONCATENATE("mldcat-ap-fair:","cell/",ROWS(A$11:A22))</f>
        <v>mldcat-ap-fair:cell/12</v>
      </c>
      <c r="B22" s="8" t="s">
        <v>24</v>
      </c>
      <c r="C22" s="38" t="s">
        <v>61</v>
      </c>
      <c r="D22" s="66" t="s">
        <v>537</v>
      </c>
      <c r="E22" s="38" t="s">
        <v>260</v>
      </c>
      <c r="F22" s="51"/>
      <c r="G22" s="56"/>
      <c r="H22" s="51"/>
      <c r="I22" s="39"/>
      <c r="J22" s="35"/>
      <c r="K22" s="8"/>
      <c r="L22" s="8"/>
      <c r="M22" s="22"/>
      <c r="N22" s="37"/>
    </row>
    <row r="23" spans="1:14" ht="15.75" customHeight="1" x14ac:dyDescent="0.35">
      <c r="A23" s="33" t="str">
        <f>CONCATENATE("mldcat-ap-fair:","cell/",ROWS(A$11:A23))</f>
        <v>mldcat-ap-fair:cell/13</v>
      </c>
      <c r="B23" s="8" t="s">
        <v>24</v>
      </c>
      <c r="C23" s="38" t="s">
        <v>91</v>
      </c>
      <c r="D23" s="66" t="s">
        <v>538</v>
      </c>
      <c r="E23" s="38" t="s">
        <v>261</v>
      </c>
      <c r="F23" s="51"/>
      <c r="G23" s="56"/>
      <c r="H23" s="51"/>
      <c r="I23" s="39"/>
      <c r="J23" s="35"/>
      <c r="K23" s="8"/>
      <c r="L23" s="8"/>
      <c r="M23" s="22"/>
      <c r="N23" s="37"/>
    </row>
    <row r="24" spans="1:14" ht="15.75" customHeight="1" x14ac:dyDescent="0.35">
      <c r="A24" s="33" t="str">
        <f>CONCATENATE("mldcat-ap-fair:","cell/",ROWS(A$11:A24))</f>
        <v>mldcat-ap-fair:cell/14</v>
      </c>
      <c r="B24" s="8" t="s">
        <v>24</v>
      </c>
      <c r="C24" s="38" t="s">
        <v>63</v>
      </c>
      <c r="D24" s="66" t="s">
        <v>539</v>
      </c>
      <c r="E24" s="38" t="s">
        <v>262</v>
      </c>
      <c r="F24" s="51"/>
      <c r="G24" s="56"/>
      <c r="H24" s="51"/>
      <c r="I24" s="36"/>
      <c r="J24" s="35"/>
      <c r="K24" s="8"/>
      <c r="L24" s="8"/>
      <c r="M24" s="22"/>
      <c r="N24" s="22"/>
    </row>
    <row r="25" spans="1:14" ht="15.75" customHeight="1" x14ac:dyDescent="0.35">
      <c r="A25" s="33" t="str">
        <f>CONCATENATE("mldcat-ap-fair:","cell/",ROWS(A$11:A25))</f>
        <v>mldcat-ap-fair:cell/15</v>
      </c>
      <c r="B25" s="8" t="s">
        <v>24</v>
      </c>
      <c r="C25" s="38" t="s">
        <v>67</v>
      </c>
      <c r="D25" s="66" t="s">
        <v>540</v>
      </c>
      <c r="E25" s="38" t="s">
        <v>263</v>
      </c>
      <c r="F25" s="51"/>
      <c r="G25" s="56"/>
      <c r="H25" s="51"/>
      <c r="I25" s="36"/>
      <c r="J25" s="35"/>
      <c r="K25" s="8"/>
      <c r="L25" s="8"/>
      <c r="M25" s="22"/>
      <c r="N25" s="37"/>
    </row>
    <row r="26" spans="1:14" ht="14.5" x14ac:dyDescent="0.35">
      <c r="A26" s="33" t="str">
        <f>CONCATENATE("mldcat-ap-fair:","cell/",ROWS(A$11:A26))</f>
        <v>mldcat-ap-fair:cell/16</v>
      </c>
      <c r="B26" s="8" t="s">
        <v>24</v>
      </c>
      <c r="C26" s="38" t="s">
        <v>92</v>
      </c>
      <c r="D26" s="66" t="s">
        <v>541</v>
      </c>
      <c r="E26" s="38" t="s">
        <v>264</v>
      </c>
      <c r="F26" s="51"/>
      <c r="G26" s="56"/>
      <c r="H26" s="51"/>
      <c r="I26" s="36"/>
      <c r="J26" s="35"/>
      <c r="K26" s="8"/>
      <c r="L26" s="8"/>
      <c r="M26" s="22"/>
      <c r="N26" s="22"/>
    </row>
    <row r="27" spans="1:14" ht="15.75" customHeight="1" x14ac:dyDescent="0.35">
      <c r="A27" s="33" t="str">
        <f>CONCATENATE("mldcat-ap-fair:","cell/",ROWS(A$11:A27))</f>
        <v>mldcat-ap-fair:cell/17</v>
      </c>
      <c r="B27" s="8" t="s">
        <v>24</v>
      </c>
      <c r="C27" s="38" t="s">
        <v>66</v>
      </c>
      <c r="D27" s="66" t="s">
        <v>542</v>
      </c>
      <c r="E27" s="38" t="s">
        <v>265</v>
      </c>
      <c r="F27" s="51"/>
      <c r="G27" s="56"/>
      <c r="H27" s="51"/>
      <c r="I27" s="36"/>
      <c r="J27" s="35"/>
      <c r="K27" s="8"/>
      <c r="L27" s="8"/>
      <c r="M27" s="22"/>
      <c r="N27" s="22"/>
    </row>
    <row r="28" spans="1:14" ht="15.75" customHeight="1" x14ac:dyDescent="0.35">
      <c r="A28" s="33" t="str">
        <f>CONCATENATE("mldcat-ap-fair:","cell/",ROWS(A$11:A28))</f>
        <v>mldcat-ap-fair:cell/18</v>
      </c>
      <c r="B28" s="8" t="s">
        <v>24</v>
      </c>
      <c r="C28" s="38" t="s">
        <v>71</v>
      </c>
      <c r="D28" s="66" t="s">
        <v>543</v>
      </c>
      <c r="E28" s="38" t="s">
        <v>266</v>
      </c>
      <c r="F28" s="51"/>
      <c r="G28" s="56"/>
      <c r="H28" s="51"/>
      <c r="I28" s="36"/>
      <c r="J28" s="35"/>
      <c r="K28" s="8"/>
      <c r="L28" s="8"/>
      <c r="M28" s="22"/>
      <c r="N28" s="22"/>
    </row>
    <row r="29" spans="1:14" ht="15.75" customHeight="1" x14ac:dyDescent="0.35">
      <c r="A29" s="33" t="str">
        <f>CONCATENATE("mldcat-ap-fair:","cell/",ROWS(A$11:A29))</f>
        <v>mldcat-ap-fair:cell/19</v>
      </c>
      <c r="B29" s="8" t="s">
        <v>24</v>
      </c>
      <c r="C29" s="38" t="s">
        <v>60</v>
      </c>
      <c r="D29" s="66" t="s">
        <v>544</v>
      </c>
      <c r="E29" s="38" t="s">
        <v>267</v>
      </c>
      <c r="F29" s="51"/>
      <c r="G29" s="56"/>
      <c r="H29" s="51"/>
      <c r="I29" s="36"/>
      <c r="J29" s="35"/>
      <c r="K29" s="8"/>
      <c r="L29" s="8"/>
      <c r="M29" s="22"/>
      <c r="N29" s="22"/>
    </row>
    <row r="30" spans="1:14" ht="15.75" customHeight="1" x14ac:dyDescent="0.35">
      <c r="A30" s="33" t="str">
        <f>CONCATENATE("mldcat-ap-fair:","cell/",ROWS(A$11:A30))</f>
        <v>mldcat-ap-fair:cell/20</v>
      </c>
      <c r="B30" s="8" t="s">
        <v>24</v>
      </c>
      <c r="C30" s="38" t="s">
        <v>93</v>
      </c>
      <c r="D30" s="66" t="s">
        <v>545</v>
      </c>
      <c r="E30" s="38" t="s">
        <v>268</v>
      </c>
      <c r="F30" s="51"/>
      <c r="G30" s="56"/>
      <c r="H30" s="51"/>
      <c r="I30" s="36"/>
      <c r="J30" s="35"/>
      <c r="K30" s="8"/>
      <c r="L30" s="8"/>
      <c r="M30" s="22"/>
      <c r="N30" s="22"/>
    </row>
    <row r="31" spans="1:14" ht="15.75" customHeight="1" x14ac:dyDescent="0.35">
      <c r="A31" s="33" t="str">
        <f>CONCATENATE("mldcat-ap-fair:","cell/",ROWS(A$11:A31))</f>
        <v>mldcat-ap-fair:cell/21</v>
      </c>
      <c r="B31" s="8" t="s">
        <v>24</v>
      </c>
      <c r="C31" s="38" t="s">
        <v>83</v>
      </c>
      <c r="D31" s="66" t="s">
        <v>546</v>
      </c>
      <c r="E31" s="38" t="s">
        <v>269</v>
      </c>
      <c r="F31" s="51"/>
      <c r="G31" s="56"/>
      <c r="H31" s="51"/>
      <c r="I31" s="36"/>
      <c r="J31" s="35"/>
      <c r="K31" s="8"/>
      <c r="L31" s="8"/>
      <c r="M31" s="22"/>
      <c r="N31" s="22"/>
    </row>
    <row r="32" spans="1:14" ht="15.75" customHeight="1" x14ac:dyDescent="0.35">
      <c r="A32" s="33" t="str">
        <f>CONCATENATE("mldcat-ap-fair:","cell/",ROWS(A$11:A32))</f>
        <v>mldcat-ap-fair:cell/22</v>
      </c>
      <c r="B32" s="8" t="s">
        <v>24</v>
      </c>
      <c r="C32" s="38" t="s">
        <v>69</v>
      </c>
      <c r="D32" s="66" t="s">
        <v>547</v>
      </c>
      <c r="E32" s="38" t="s">
        <v>270</v>
      </c>
      <c r="F32" s="51"/>
      <c r="G32" s="56"/>
      <c r="H32" s="51"/>
      <c r="I32" s="36"/>
      <c r="J32" s="35"/>
      <c r="K32" s="8"/>
      <c r="L32" s="8"/>
      <c r="M32" s="22"/>
      <c r="N32" s="22"/>
    </row>
    <row r="33" spans="1:14" ht="15.75" customHeight="1" x14ac:dyDescent="0.35">
      <c r="A33" s="33" t="str">
        <f>CONCATENATE("mldcat-ap-fair:","cell/",ROWS(A$11:A33))</f>
        <v>mldcat-ap-fair:cell/23</v>
      </c>
      <c r="B33" s="8" t="s">
        <v>24</v>
      </c>
      <c r="C33" s="38" t="s">
        <v>94</v>
      </c>
      <c r="D33" s="66" t="s">
        <v>548</v>
      </c>
      <c r="E33" s="38" t="s">
        <v>271</v>
      </c>
      <c r="F33" s="51"/>
      <c r="G33" s="56"/>
      <c r="H33" s="51"/>
      <c r="I33" s="36"/>
      <c r="J33" s="35"/>
      <c r="K33" s="8"/>
      <c r="L33" s="8"/>
      <c r="M33" s="22"/>
      <c r="N33" s="22"/>
    </row>
    <row r="34" spans="1:14" ht="15.75" customHeight="1" x14ac:dyDescent="0.35">
      <c r="A34" s="33" t="str">
        <f>CONCATENATE("mldcat-ap-fair:","cell/",ROWS(A$11:A34))</f>
        <v>mldcat-ap-fair:cell/24</v>
      </c>
      <c r="B34" s="8" t="s">
        <v>24</v>
      </c>
      <c r="C34" s="38" t="s">
        <v>95</v>
      </c>
      <c r="D34" s="66" t="s">
        <v>549</v>
      </c>
      <c r="E34" s="38" t="s">
        <v>272</v>
      </c>
      <c r="F34" s="51"/>
      <c r="G34" s="56"/>
      <c r="H34" s="51"/>
      <c r="I34" s="36"/>
      <c r="J34" s="35"/>
      <c r="K34" s="8"/>
      <c r="L34" s="8"/>
      <c r="M34" s="22"/>
      <c r="N34" s="22"/>
    </row>
    <row r="35" spans="1:14" ht="15.75" customHeight="1" x14ac:dyDescent="0.35">
      <c r="A35" s="33" t="str">
        <f>CONCATENATE("mldcat-ap-fair:","cell/",ROWS(A$11:A35))</f>
        <v>mldcat-ap-fair:cell/25</v>
      </c>
      <c r="B35" s="8" t="s">
        <v>24</v>
      </c>
      <c r="C35" s="38" t="s">
        <v>39</v>
      </c>
      <c r="D35" s="66" t="s">
        <v>550</v>
      </c>
      <c r="E35" s="38" t="s">
        <v>273</v>
      </c>
      <c r="F35" s="51"/>
      <c r="G35" s="56"/>
      <c r="H35" s="51"/>
      <c r="I35" s="36"/>
      <c r="J35" s="35"/>
      <c r="K35" s="8"/>
      <c r="L35" s="8"/>
      <c r="M35" s="22"/>
      <c r="N35" s="22"/>
    </row>
    <row r="36" spans="1:14" ht="15.75" customHeight="1" x14ac:dyDescent="0.35">
      <c r="A36" s="33" t="str">
        <f>CONCATENATE("mldcat-ap-fair:","cell/",ROWS(A$11:A36))</f>
        <v>mldcat-ap-fair:cell/26</v>
      </c>
      <c r="B36" s="8" t="s">
        <v>24</v>
      </c>
      <c r="C36" s="38" t="s">
        <v>61</v>
      </c>
      <c r="D36" s="66" t="s">
        <v>551</v>
      </c>
      <c r="E36" s="38" t="s">
        <v>260</v>
      </c>
      <c r="F36" s="51"/>
      <c r="G36" s="56"/>
      <c r="H36" s="51"/>
      <c r="I36" s="36"/>
      <c r="J36" s="35"/>
      <c r="K36" s="8"/>
      <c r="L36" s="8"/>
      <c r="M36" s="22"/>
      <c r="N36" s="22"/>
    </row>
    <row r="37" spans="1:14" ht="15.75" customHeight="1" x14ac:dyDescent="0.35">
      <c r="A37" s="33" t="str">
        <f>CONCATENATE("mldcat-ap-fair:","cell/",ROWS(A$11:A37))</f>
        <v>mldcat-ap-fair:cell/27</v>
      </c>
      <c r="B37" s="8" t="s">
        <v>24</v>
      </c>
      <c r="C37" s="38" t="s">
        <v>92</v>
      </c>
      <c r="D37" s="66" t="s">
        <v>552</v>
      </c>
      <c r="E37" s="38" t="s">
        <v>264</v>
      </c>
      <c r="F37" s="51"/>
      <c r="G37" s="56"/>
      <c r="H37" s="51"/>
      <c r="I37" s="36"/>
      <c r="J37" s="35"/>
      <c r="K37" s="8"/>
      <c r="L37" s="8"/>
      <c r="M37" s="22"/>
      <c r="N37" s="22"/>
    </row>
    <row r="38" spans="1:14" ht="15.75" customHeight="1" x14ac:dyDescent="0.35">
      <c r="A38" s="33" t="str">
        <f>CONCATENATE("mldcat-ap-fair:","cell/",ROWS(A$11:A38))</f>
        <v>mldcat-ap-fair:cell/28</v>
      </c>
      <c r="B38" s="8" t="s">
        <v>24</v>
      </c>
      <c r="C38" s="38" t="s">
        <v>96</v>
      </c>
      <c r="D38" s="66" t="s">
        <v>553</v>
      </c>
      <c r="E38" s="38" t="s">
        <v>274</v>
      </c>
      <c r="F38" s="51"/>
      <c r="G38" s="56"/>
      <c r="H38" s="51"/>
      <c r="I38" s="36"/>
      <c r="J38" s="35"/>
      <c r="K38" s="8"/>
      <c r="L38" s="8"/>
      <c r="M38" s="22"/>
      <c r="N38" s="22"/>
    </row>
    <row r="39" spans="1:14" ht="15.75" customHeight="1" x14ac:dyDescent="0.35">
      <c r="A39" s="33" t="str">
        <f>CONCATENATE("mldcat-ap-fair:","cell/",ROWS(A$11:A39))</f>
        <v>mldcat-ap-fair:cell/29</v>
      </c>
      <c r="B39" s="8" t="s">
        <v>24</v>
      </c>
      <c r="C39" s="38" t="s">
        <v>97</v>
      </c>
      <c r="D39" s="66" t="s">
        <v>554</v>
      </c>
      <c r="E39" s="38" t="s">
        <v>275</v>
      </c>
      <c r="F39" s="51"/>
      <c r="G39" s="56"/>
      <c r="H39" s="51"/>
      <c r="I39" s="36"/>
      <c r="J39" s="35"/>
      <c r="K39" s="8"/>
      <c r="L39" s="8"/>
      <c r="M39" s="22"/>
      <c r="N39" s="22"/>
    </row>
    <row r="40" spans="1:14" ht="15.75" customHeight="1" x14ac:dyDescent="0.35">
      <c r="A40" s="33" t="str">
        <f>CONCATENATE("mldcat-ap-fair:","cell/",ROWS(A$11:A40))</f>
        <v>mldcat-ap-fair:cell/30</v>
      </c>
      <c r="B40" s="8" t="s">
        <v>24</v>
      </c>
      <c r="C40" s="38" t="s">
        <v>44</v>
      </c>
      <c r="D40" s="66" t="s">
        <v>555</v>
      </c>
      <c r="E40" s="38" t="s">
        <v>276</v>
      </c>
      <c r="F40" s="51"/>
      <c r="G40" s="56"/>
      <c r="H40" s="51"/>
      <c r="I40" s="36"/>
      <c r="J40" s="35"/>
      <c r="K40" s="8"/>
      <c r="L40" s="8"/>
      <c r="M40" s="22"/>
      <c r="N40" s="22"/>
    </row>
    <row r="41" spans="1:14" ht="15.75" customHeight="1" x14ac:dyDescent="0.35">
      <c r="A41" s="33" t="str">
        <f>CONCATENATE("mldcat-ap-fair:","cell/",ROWS(A$11:A41))</f>
        <v>mldcat-ap-fair:cell/31</v>
      </c>
      <c r="B41" s="8" t="s">
        <v>24</v>
      </c>
      <c r="C41" s="38" t="s">
        <v>98</v>
      </c>
      <c r="D41" s="66" t="s">
        <v>556</v>
      </c>
      <c r="E41" s="38" t="s">
        <v>277</v>
      </c>
      <c r="F41" s="51"/>
      <c r="G41" s="56"/>
      <c r="H41" s="51"/>
      <c r="I41" s="36"/>
      <c r="J41" s="35"/>
      <c r="K41" s="8"/>
      <c r="L41" s="8"/>
      <c r="M41" s="22"/>
      <c r="N41" s="22"/>
    </row>
    <row r="42" spans="1:14" ht="15.75" customHeight="1" x14ac:dyDescent="0.35">
      <c r="A42" s="33" t="str">
        <f>CONCATENATE("mldcat-ap-fair:","cell/",ROWS(A$11:A42))</f>
        <v>mldcat-ap-fair:cell/32</v>
      </c>
      <c r="B42" s="8" t="s">
        <v>24</v>
      </c>
      <c r="C42" s="38" t="s">
        <v>71</v>
      </c>
      <c r="D42" s="66" t="s">
        <v>557</v>
      </c>
      <c r="E42" s="38" t="s">
        <v>266</v>
      </c>
      <c r="F42" s="51"/>
      <c r="G42" s="56"/>
      <c r="H42" s="51"/>
      <c r="I42" s="36"/>
      <c r="J42" s="35"/>
      <c r="K42" s="8"/>
      <c r="L42" s="8"/>
      <c r="M42" s="22"/>
      <c r="N42" s="22"/>
    </row>
    <row r="43" spans="1:14" ht="15.75" customHeight="1" x14ac:dyDescent="0.35">
      <c r="A43" s="33" t="str">
        <f>CONCATENATE("mldcat-ap-fair:","cell/",ROWS(A$11:A43))</f>
        <v>mldcat-ap-fair:cell/33</v>
      </c>
      <c r="B43" s="8" t="s">
        <v>24</v>
      </c>
      <c r="C43" s="38" t="s">
        <v>99</v>
      </c>
      <c r="D43" s="66" t="s">
        <v>558</v>
      </c>
      <c r="E43" s="38" t="s">
        <v>278</v>
      </c>
      <c r="F43" s="51"/>
      <c r="G43" s="56"/>
      <c r="H43" s="51"/>
      <c r="I43" s="36"/>
      <c r="J43" s="35"/>
      <c r="K43" s="8"/>
      <c r="L43" s="8"/>
      <c r="M43" s="22"/>
      <c r="N43" s="22"/>
    </row>
    <row r="44" spans="1:14" ht="15.75" customHeight="1" x14ac:dyDescent="0.35">
      <c r="A44" s="33" t="str">
        <f>CONCATENATE("mldcat-ap-fair:","cell/",ROWS(A$11:A44))</f>
        <v>mldcat-ap-fair:cell/34</v>
      </c>
      <c r="B44" s="8" t="s">
        <v>24</v>
      </c>
      <c r="C44" s="38" t="s">
        <v>34</v>
      </c>
      <c r="D44" s="66" t="s">
        <v>559</v>
      </c>
      <c r="E44" s="38" t="s">
        <v>279</v>
      </c>
      <c r="F44" s="51"/>
      <c r="G44" s="56"/>
      <c r="H44" s="51"/>
      <c r="I44" s="36"/>
      <c r="J44" s="35"/>
      <c r="K44" s="8"/>
      <c r="L44" s="8"/>
      <c r="M44" s="22"/>
      <c r="N44" s="22"/>
    </row>
    <row r="45" spans="1:14" ht="15.75" customHeight="1" x14ac:dyDescent="0.35">
      <c r="A45" s="33" t="str">
        <f>CONCATENATE("mldcat-ap-fair:","cell/",ROWS(A$11:A45))</f>
        <v>mldcat-ap-fair:cell/35</v>
      </c>
      <c r="B45" s="8" t="s">
        <v>24</v>
      </c>
      <c r="C45" s="38" t="s">
        <v>58</v>
      </c>
      <c r="D45" s="66" t="s">
        <v>560</v>
      </c>
      <c r="E45" s="38" t="s">
        <v>280</v>
      </c>
      <c r="F45" s="51"/>
      <c r="G45" s="56"/>
      <c r="H45" s="51"/>
      <c r="I45" s="36"/>
      <c r="J45" s="35"/>
      <c r="K45" s="8"/>
      <c r="L45" s="8"/>
      <c r="M45" s="22"/>
      <c r="N45" s="22"/>
    </row>
    <row r="46" spans="1:14" ht="15.75" customHeight="1" x14ac:dyDescent="0.35">
      <c r="A46" s="33" t="str">
        <f>CONCATENATE("mldcat-ap-fair:","cell/",ROWS(A$11:A46))</f>
        <v>mldcat-ap-fair:cell/36</v>
      </c>
      <c r="B46" s="8" t="s">
        <v>24</v>
      </c>
      <c r="C46" s="38" t="s">
        <v>100</v>
      </c>
      <c r="D46" s="66" t="s">
        <v>561</v>
      </c>
      <c r="E46" s="38" t="s">
        <v>281</v>
      </c>
      <c r="F46" s="51"/>
      <c r="G46" s="56"/>
      <c r="H46" s="51"/>
      <c r="I46" s="36"/>
      <c r="J46" s="35"/>
      <c r="K46" s="8"/>
      <c r="L46" s="8"/>
      <c r="M46" s="22"/>
      <c r="N46" s="22"/>
    </row>
    <row r="47" spans="1:14" ht="14.5" x14ac:dyDescent="0.35">
      <c r="A47" s="33" t="str">
        <f>CONCATENATE("mldcat-ap-fair:","cell/",ROWS(A$11:A47))</f>
        <v>mldcat-ap-fair:cell/37</v>
      </c>
      <c r="B47" s="8" t="s">
        <v>24</v>
      </c>
      <c r="C47" s="38" t="s">
        <v>101</v>
      </c>
      <c r="D47" s="66" t="s">
        <v>562</v>
      </c>
      <c r="E47" s="38" t="s">
        <v>282</v>
      </c>
      <c r="F47" s="51"/>
      <c r="G47" s="56"/>
      <c r="H47" s="51"/>
      <c r="I47" s="36"/>
      <c r="J47" s="35"/>
      <c r="K47" s="8"/>
      <c r="L47" s="8"/>
      <c r="M47" s="22"/>
      <c r="N47" s="22"/>
    </row>
    <row r="48" spans="1:14" ht="15.75" customHeight="1" x14ac:dyDescent="0.35">
      <c r="A48" s="33" t="str">
        <f>CONCATENATE("mldcat-ap-fair:","cell/",ROWS(A$11:A48))</f>
        <v>mldcat-ap-fair:cell/38</v>
      </c>
      <c r="B48" s="8" t="s">
        <v>24</v>
      </c>
      <c r="C48" s="38" t="s">
        <v>61</v>
      </c>
      <c r="D48" s="66" t="s">
        <v>563</v>
      </c>
      <c r="E48" s="38" t="s">
        <v>260</v>
      </c>
      <c r="F48" s="51"/>
      <c r="G48" s="56"/>
      <c r="H48" s="51"/>
      <c r="I48" s="36"/>
      <c r="J48" s="35"/>
      <c r="K48" s="8"/>
      <c r="L48" s="8"/>
      <c r="M48" s="22"/>
      <c r="N48" s="22"/>
    </row>
    <row r="49" spans="1:14" ht="15.75" customHeight="1" x14ac:dyDescent="0.35">
      <c r="A49" s="33" t="str">
        <f>CONCATENATE("mldcat-ap-fair:","cell/",ROWS(A$11:A49))</f>
        <v>mldcat-ap-fair:cell/39</v>
      </c>
      <c r="B49" s="8" t="s">
        <v>24</v>
      </c>
      <c r="C49" s="38" t="s">
        <v>63</v>
      </c>
      <c r="D49" s="66" t="s">
        <v>564</v>
      </c>
      <c r="E49" s="38" t="s">
        <v>262</v>
      </c>
      <c r="F49" s="51"/>
      <c r="G49" s="56"/>
      <c r="H49" s="51"/>
      <c r="I49" s="36"/>
      <c r="J49" s="35"/>
      <c r="K49" s="8"/>
      <c r="L49" s="8"/>
      <c r="M49" s="22"/>
      <c r="N49" s="22"/>
    </row>
    <row r="50" spans="1:14" ht="15.75" customHeight="1" x14ac:dyDescent="0.35">
      <c r="A50" s="33" t="str">
        <f>CONCATENATE("mldcat-ap-fair:","cell/",ROWS(A$11:A50))</f>
        <v>mldcat-ap-fair:cell/40</v>
      </c>
      <c r="B50" s="8" t="s">
        <v>24</v>
      </c>
      <c r="C50" s="38" t="s">
        <v>66</v>
      </c>
      <c r="D50" s="66" t="s">
        <v>565</v>
      </c>
      <c r="E50" s="38" t="s">
        <v>265</v>
      </c>
      <c r="F50" s="51"/>
      <c r="G50" s="56"/>
      <c r="H50" s="51"/>
      <c r="I50" s="36"/>
      <c r="J50" s="35"/>
      <c r="K50" s="8"/>
      <c r="L50" s="8"/>
      <c r="M50" s="22"/>
      <c r="N50" s="22"/>
    </row>
    <row r="51" spans="1:14" ht="15.75" customHeight="1" x14ac:dyDescent="0.35">
      <c r="A51" s="33" t="str">
        <f>CONCATENATE("mldcat-ap-fair:","cell/",ROWS(A$11:A51))</f>
        <v>mldcat-ap-fair:cell/41</v>
      </c>
      <c r="B51" s="8" t="s">
        <v>24</v>
      </c>
      <c r="C51" s="38" t="s">
        <v>67</v>
      </c>
      <c r="D51" s="66" t="s">
        <v>566</v>
      </c>
      <c r="E51" s="38" t="s">
        <v>263</v>
      </c>
      <c r="F51" s="51"/>
      <c r="G51" s="56"/>
      <c r="H51" s="51"/>
      <c r="I51" s="36"/>
      <c r="J51" s="35"/>
      <c r="K51" s="8"/>
      <c r="L51" s="8"/>
      <c r="M51" s="22"/>
      <c r="N51" s="22"/>
    </row>
    <row r="52" spans="1:14" ht="15.75" customHeight="1" x14ac:dyDescent="0.35">
      <c r="A52" s="33" t="str">
        <f>CONCATENATE("mldcat-ap-fair:","cell/",ROWS(A$11:A52))</f>
        <v>mldcat-ap-fair:cell/42</v>
      </c>
      <c r="B52" s="8" t="s">
        <v>24</v>
      </c>
      <c r="C52" s="38" t="s">
        <v>68</v>
      </c>
      <c r="D52" s="66" t="s">
        <v>567</v>
      </c>
      <c r="E52" s="38" t="s">
        <v>283</v>
      </c>
      <c r="F52" s="51"/>
      <c r="G52" s="56"/>
      <c r="H52" s="51"/>
      <c r="I52" s="36"/>
      <c r="J52" s="35"/>
      <c r="K52" s="8"/>
      <c r="L52" s="8"/>
      <c r="M52" s="22"/>
      <c r="N52" s="22"/>
    </row>
    <row r="53" spans="1:14" ht="15.75" customHeight="1" x14ac:dyDescent="0.35">
      <c r="A53" s="33" t="str">
        <f>CONCATENATE("mldcat-ap-fair:","cell/",ROWS(A$11:A53))</f>
        <v>mldcat-ap-fair:cell/43</v>
      </c>
      <c r="B53" s="8" t="s">
        <v>24</v>
      </c>
      <c r="C53" s="38" t="s">
        <v>70</v>
      </c>
      <c r="D53" s="66" t="s">
        <v>568</v>
      </c>
      <c r="E53" s="38" t="s">
        <v>284</v>
      </c>
      <c r="F53" s="51"/>
      <c r="G53" s="56"/>
      <c r="H53" s="51"/>
      <c r="I53" s="36"/>
      <c r="J53" s="35"/>
      <c r="K53" s="8"/>
      <c r="L53" s="8"/>
      <c r="M53" s="22"/>
      <c r="N53" s="22"/>
    </row>
    <row r="54" spans="1:14" ht="15.75" customHeight="1" x14ac:dyDescent="0.35">
      <c r="A54" s="33" t="str">
        <f>CONCATENATE("mldcat-ap-fair:","cell/",ROWS(A$11:A54))</f>
        <v>mldcat-ap-fair:cell/44</v>
      </c>
      <c r="B54" s="8" t="s">
        <v>24</v>
      </c>
      <c r="C54" s="38" t="s">
        <v>71</v>
      </c>
      <c r="D54" s="66" t="s">
        <v>569</v>
      </c>
      <c r="E54" s="38" t="s">
        <v>266</v>
      </c>
      <c r="F54" s="51"/>
      <c r="G54" s="56"/>
      <c r="H54" s="51"/>
      <c r="I54" s="36"/>
      <c r="J54" s="35"/>
      <c r="K54" s="50"/>
      <c r="L54" s="8"/>
      <c r="M54" s="55"/>
      <c r="N54" s="22"/>
    </row>
    <row r="55" spans="1:14" ht="15.75" customHeight="1" x14ac:dyDescent="0.35">
      <c r="A55" s="33" t="str">
        <f>CONCATENATE("mldcat-ap-fair:","cell/",ROWS(A$11:A55))</f>
        <v>mldcat-ap-fair:cell/45</v>
      </c>
      <c r="B55" s="8" t="s">
        <v>24</v>
      </c>
      <c r="C55" s="38" t="s">
        <v>72</v>
      </c>
      <c r="D55" s="66" t="s">
        <v>570</v>
      </c>
      <c r="E55" s="38" t="s">
        <v>285</v>
      </c>
      <c r="F55" s="53"/>
      <c r="G55" s="56"/>
      <c r="H55" s="53"/>
      <c r="I55" s="36"/>
      <c r="J55" s="35"/>
      <c r="K55" s="50"/>
      <c r="L55" s="8"/>
      <c r="M55" s="22"/>
      <c r="N55" s="22"/>
    </row>
    <row r="56" spans="1:14" ht="15.75" customHeight="1" x14ac:dyDescent="0.35">
      <c r="A56" s="33" t="str">
        <f>CONCATENATE("mldcat-ap-fair:","cell/",ROWS(A$11:A56))</f>
        <v>mldcat-ap-fair:cell/46</v>
      </c>
      <c r="B56" s="8" t="s">
        <v>24</v>
      </c>
      <c r="C56" s="38" t="s">
        <v>102</v>
      </c>
      <c r="D56" s="66" t="s">
        <v>571</v>
      </c>
      <c r="E56" s="38" t="s">
        <v>286</v>
      </c>
      <c r="F56" s="21"/>
      <c r="G56" s="56"/>
      <c r="H56" s="21"/>
      <c r="I56" s="36"/>
      <c r="J56" s="35"/>
      <c r="K56" s="50"/>
      <c r="L56" s="8"/>
      <c r="M56" s="37"/>
      <c r="N56" s="37"/>
    </row>
    <row r="57" spans="1:14" ht="15.75" customHeight="1" x14ac:dyDescent="0.35">
      <c r="A57" s="33" t="str">
        <f>CONCATENATE("mldcat-ap-fair:","cell/",ROWS(A$11:A57))</f>
        <v>mldcat-ap-fair:cell/47</v>
      </c>
      <c r="B57" s="8" t="s">
        <v>24</v>
      </c>
      <c r="C57" s="38" t="s">
        <v>103</v>
      </c>
      <c r="D57" s="66" t="s">
        <v>572</v>
      </c>
      <c r="E57" s="38" t="s">
        <v>287</v>
      </c>
      <c r="F57" s="21"/>
      <c r="G57" s="56"/>
      <c r="H57" s="21"/>
      <c r="I57" s="36"/>
      <c r="J57" s="35"/>
      <c r="K57" s="50"/>
      <c r="L57" s="8"/>
      <c r="M57" s="22"/>
      <c r="N57" s="22"/>
    </row>
    <row r="58" spans="1:14" ht="15.75" customHeight="1" x14ac:dyDescent="0.35">
      <c r="A58" s="33" t="str">
        <f>CONCATENATE("mldcat-ap-fair:","cell/",ROWS(A$11:A58))</f>
        <v>mldcat-ap-fair:cell/48</v>
      </c>
      <c r="B58" s="8" t="s">
        <v>24</v>
      </c>
      <c r="C58" s="38" t="s">
        <v>59</v>
      </c>
      <c r="D58" s="66" t="s">
        <v>573</v>
      </c>
      <c r="E58" s="38" t="s">
        <v>288</v>
      </c>
      <c r="F58" s="21"/>
      <c r="G58" s="56"/>
      <c r="H58" s="21"/>
      <c r="I58" s="36"/>
      <c r="J58" s="35"/>
      <c r="K58" s="50"/>
      <c r="L58" s="8"/>
      <c r="M58" s="22"/>
      <c r="N58" s="22"/>
    </row>
    <row r="59" spans="1:14" ht="15.75" customHeight="1" x14ac:dyDescent="0.35">
      <c r="A59" s="33" t="str">
        <f>CONCATENATE("mldcat-ap-fair:","cell/",ROWS(A$11:A59))</f>
        <v>mldcat-ap-fair:cell/49</v>
      </c>
      <c r="B59" s="8" t="s">
        <v>24</v>
      </c>
      <c r="C59" s="38" t="s">
        <v>60</v>
      </c>
      <c r="D59" s="66" t="s">
        <v>574</v>
      </c>
      <c r="E59" s="38" t="s">
        <v>267</v>
      </c>
      <c r="F59" s="21"/>
      <c r="G59" s="56"/>
      <c r="H59" s="21"/>
      <c r="I59" s="36"/>
      <c r="J59" s="35"/>
      <c r="K59" s="50"/>
      <c r="L59" s="8"/>
      <c r="M59" s="22"/>
      <c r="N59" s="22"/>
    </row>
    <row r="60" spans="1:14" ht="15.75" customHeight="1" x14ac:dyDescent="0.35">
      <c r="A60" s="33" t="str">
        <f>CONCATENATE("mldcat-ap-fair:","cell/",ROWS(A$11:A60))</f>
        <v>mldcat-ap-fair:cell/50</v>
      </c>
      <c r="B60" s="8" t="s">
        <v>24</v>
      </c>
      <c r="C60" s="38" t="s">
        <v>62</v>
      </c>
      <c r="D60" s="66" t="s">
        <v>575</v>
      </c>
      <c r="E60" s="38" t="s">
        <v>289</v>
      </c>
      <c r="F60" s="21"/>
      <c r="G60" s="56"/>
      <c r="H60" s="21"/>
      <c r="I60" s="36"/>
      <c r="J60" s="35"/>
      <c r="K60" s="50"/>
      <c r="L60" s="8"/>
      <c r="M60" s="22"/>
      <c r="N60" s="22"/>
    </row>
    <row r="61" spans="1:14" ht="15.75" customHeight="1" x14ac:dyDescent="0.35">
      <c r="A61" s="33" t="str">
        <f>CONCATENATE("mldcat-ap-fair:","cell/",ROWS(A$11:A61))</f>
        <v>mldcat-ap-fair:cell/51</v>
      </c>
      <c r="B61" s="8" t="s">
        <v>24</v>
      </c>
      <c r="C61" s="38" t="s">
        <v>104</v>
      </c>
      <c r="D61" s="66" t="s">
        <v>576</v>
      </c>
      <c r="E61" s="38" t="s">
        <v>290</v>
      </c>
      <c r="F61" s="56"/>
      <c r="G61" s="56"/>
      <c r="H61" s="56"/>
      <c r="I61" s="57"/>
      <c r="J61" s="35"/>
      <c r="K61" s="24"/>
      <c r="L61" s="8"/>
      <c r="M61" s="22"/>
      <c r="N61" s="22"/>
    </row>
    <row r="62" spans="1:14" ht="15.75" customHeight="1" x14ac:dyDescent="0.35">
      <c r="A62" s="33" t="str">
        <f>CONCATENATE("mldcat-ap-fair:","cell/",ROWS(A$11:A62))</f>
        <v>mldcat-ap-fair:cell/52</v>
      </c>
      <c r="B62" s="8" t="s">
        <v>24</v>
      </c>
      <c r="C62" s="38" t="s">
        <v>64</v>
      </c>
      <c r="D62" s="66" t="s">
        <v>577</v>
      </c>
      <c r="E62" s="38" t="s">
        <v>291</v>
      </c>
      <c r="F62" s="21"/>
      <c r="G62" s="56"/>
      <c r="H62" s="21"/>
      <c r="I62" s="57"/>
      <c r="J62" s="35"/>
      <c r="K62" s="8"/>
      <c r="L62" s="8"/>
      <c r="M62" s="22"/>
      <c r="N62" s="22"/>
    </row>
    <row r="63" spans="1:14" ht="15.75" customHeight="1" x14ac:dyDescent="0.35">
      <c r="A63" s="33" t="str">
        <f>CONCATENATE("mldcat-ap-fair:","cell/",ROWS(A$11:A63))</f>
        <v>mldcat-ap-fair:cell/53</v>
      </c>
      <c r="B63" s="8" t="s">
        <v>24</v>
      </c>
      <c r="C63" s="38" t="s">
        <v>65</v>
      </c>
      <c r="D63" s="66" t="s">
        <v>578</v>
      </c>
      <c r="E63" s="38" t="s">
        <v>292</v>
      </c>
      <c r="F63" s="56"/>
      <c r="G63" s="56"/>
      <c r="H63" s="56"/>
      <c r="I63" s="57"/>
      <c r="J63" s="24"/>
      <c r="K63" s="24"/>
      <c r="L63" s="8"/>
      <c r="M63" s="22"/>
      <c r="N63" s="22"/>
    </row>
    <row r="64" spans="1:14" ht="15.75" customHeight="1" x14ac:dyDescent="0.35">
      <c r="A64" s="33" t="str">
        <f>CONCATENATE("mldcat-ap-fair:","cell/",ROWS(A$11:A64))</f>
        <v>mldcat-ap-fair:cell/54</v>
      </c>
      <c r="B64" s="8" t="s">
        <v>24</v>
      </c>
      <c r="C64" s="38" t="s">
        <v>69</v>
      </c>
      <c r="D64" s="66" t="s">
        <v>579</v>
      </c>
      <c r="E64" s="38" t="s">
        <v>270</v>
      </c>
      <c r="F64" s="53"/>
      <c r="G64" s="56"/>
      <c r="H64" s="53"/>
      <c r="I64" s="57"/>
      <c r="J64" s="24"/>
      <c r="K64" s="24"/>
      <c r="L64" s="8"/>
      <c r="M64" s="22"/>
      <c r="N64" s="22"/>
    </row>
    <row r="65" spans="1:14" ht="15.75" customHeight="1" x14ac:dyDescent="0.35">
      <c r="A65" s="33" t="str">
        <f>CONCATENATE("mldcat-ap-fair:","cell/",ROWS(A$11:A65))</f>
        <v>mldcat-ap-fair:cell/55</v>
      </c>
      <c r="B65" s="8" t="s">
        <v>24</v>
      </c>
      <c r="C65" s="38" t="s">
        <v>35</v>
      </c>
      <c r="D65" s="66" t="s">
        <v>580</v>
      </c>
      <c r="E65" s="38" t="s">
        <v>293</v>
      </c>
      <c r="F65" s="21"/>
      <c r="G65" s="56"/>
      <c r="H65" s="21"/>
      <c r="I65" s="36"/>
      <c r="J65" s="24"/>
      <c r="K65" s="8"/>
      <c r="L65" s="8"/>
      <c r="M65" s="37"/>
      <c r="N65" s="22"/>
    </row>
    <row r="66" spans="1:14" ht="15.75" customHeight="1" x14ac:dyDescent="0.35">
      <c r="A66" s="33" t="str">
        <f>CONCATENATE("mldcat-ap-fair:","cell/",ROWS(A$11:A66))</f>
        <v>mldcat-ap-fair:cell/56</v>
      </c>
      <c r="B66" s="8" t="s">
        <v>24</v>
      </c>
      <c r="C66" s="38" t="s">
        <v>75</v>
      </c>
      <c r="D66" s="66" t="s">
        <v>581</v>
      </c>
      <c r="E66" s="38" t="s">
        <v>294</v>
      </c>
      <c r="F66" s="53"/>
      <c r="G66" s="56"/>
      <c r="H66" s="53"/>
      <c r="I66" s="57"/>
      <c r="J66" s="24"/>
      <c r="K66" s="24"/>
      <c r="L66" s="8"/>
      <c r="M66" s="22"/>
      <c r="N66" s="22"/>
    </row>
    <row r="67" spans="1:14" ht="15.75" customHeight="1" x14ac:dyDescent="0.35">
      <c r="A67" s="33" t="str">
        <f>CONCATENATE("mldcat-ap-fair:","cell/",ROWS(A$11:A67))</f>
        <v>mldcat-ap-fair:cell/57</v>
      </c>
      <c r="B67" s="8" t="s">
        <v>24</v>
      </c>
      <c r="C67" s="38" t="s">
        <v>76</v>
      </c>
      <c r="D67" s="66" t="s">
        <v>582</v>
      </c>
      <c r="E67" s="38" t="s">
        <v>295</v>
      </c>
      <c r="F67" s="53"/>
      <c r="G67" s="56"/>
      <c r="H67" s="53"/>
      <c r="I67" s="57"/>
      <c r="J67" s="24"/>
      <c r="K67" s="24"/>
      <c r="L67" s="8"/>
      <c r="M67" s="22"/>
      <c r="N67" s="22"/>
    </row>
    <row r="68" spans="1:14" ht="15.75" customHeight="1" x14ac:dyDescent="0.35">
      <c r="A68" s="33" t="str">
        <f>CONCATENATE("mldcat-ap-fair:","cell/",ROWS(A$11:A68))</f>
        <v>mldcat-ap-fair:cell/58</v>
      </c>
      <c r="B68" s="8" t="s">
        <v>24</v>
      </c>
      <c r="C68" s="38" t="s">
        <v>105</v>
      </c>
      <c r="D68" s="66" t="s">
        <v>583</v>
      </c>
      <c r="E68" s="38" t="s">
        <v>296</v>
      </c>
      <c r="F68" s="56"/>
      <c r="G68" s="56"/>
      <c r="H68" s="56"/>
      <c r="I68" s="57"/>
      <c r="J68" s="24"/>
      <c r="K68" s="24"/>
      <c r="L68" s="8"/>
      <c r="M68" s="22"/>
      <c r="N68" s="22"/>
    </row>
    <row r="69" spans="1:14" ht="15.75" customHeight="1" x14ac:dyDescent="0.35">
      <c r="A69" s="33" t="str">
        <f>CONCATENATE("mldcat-ap-fair:","cell/",ROWS(A$11:A69))</f>
        <v>mldcat-ap-fair:cell/59</v>
      </c>
      <c r="B69" s="8" t="s">
        <v>24</v>
      </c>
      <c r="C69" s="38" t="s">
        <v>78</v>
      </c>
      <c r="D69" s="66" t="s">
        <v>584</v>
      </c>
      <c r="E69" s="38" t="s">
        <v>297</v>
      </c>
      <c r="F69" s="56"/>
      <c r="G69" s="56"/>
      <c r="H69" s="56"/>
      <c r="I69" s="57"/>
      <c r="J69" s="35"/>
      <c r="K69" s="24"/>
      <c r="L69" s="8"/>
      <c r="M69" s="22"/>
      <c r="N69" s="22"/>
    </row>
    <row r="70" spans="1:14" ht="15.75" customHeight="1" x14ac:dyDescent="0.35">
      <c r="A70" s="33" t="str">
        <f>CONCATENATE("mldcat-ap-fair:","cell/",ROWS(A$11:A70))</f>
        <v>mldcat-ap-fair:cell/60</v>
      </c>
      <c r="B70" s="8" t="s">
        <v>24</v>
      </c>
      <c r="C70" s="38" t="s">
        <v>79</v>
      </c>
      <c r="D70" s="66" t="s">
        <v>585</v>
      </c>
      <c r="E70" s="38" t="s">
        <v>256</v>
      </c>
      <c r="F70" s="21"/>
      <c r="G70" s="56"/>
      <c r="H70" s="21"/>
      <c r="I70" s="36"/>
      <c r="J70" s="35"/>
      <c r="K70" s="50"/>
      <c r="L70" s="8"/>
      <c r="M70" s="37"/>
      <c r="N70" s="22"/>
    </row>
    <row r="71" spans="1:14" ht="15.75" customHeight="1" x14ac:dyDescent="0.35">
      <c r="A71" s="33" t="str">
        <f>CONCATENATE("mldcat-ap-fair:","cell/",ROWS(A$11:A71))</f>
        <v>mldcat-ap-fair:cell/61</v>
      </c>
      <c r="B71" s="8" t="s">
        <v>24</v>
      </c>
      <c r="C71" s="38" t="s">
        <v>80</v>
      </c>
      <c r="D71" s="66" t="s">
        <v>586</v>
      </c>
      <c r="E71" s="38" t="s">
        <v>298</v>
      </c>
      <c r="F71" s="21"/>
      <c r="G71" s="56"/>
      <c r="H71" s="21"/>
      <c r="I71" s="36"/>
      <c r="J71" s="35"/>
      <c r="K71" s="50"/>
      <c r="L71" s="8"/>
      <c r="M71" s="37"/>
      <c r="N71" s="37"/>
    </row>
    <row r="72" spans="1:14" ht="15.75" customHeight="1" x14ac:dyDescent="0.35">
      <c r="A72" s="33" t="str">
        <f>CONCATENATE("mldcat-ap-fair:","cell/",ROWS(A$11:A72))</f>
        <v>mldcat-ap-fair:cell/62</v>
      </c>
      <c r="B72" s="8" t="s">
        <v>24</v>
      </c>
      <c r="C72" s="38" t="s">
        <v>63</v>
      </c>
      <c r="D72" s="66" t="s">
        <v>587</v>
      </c>
      <c r="E72" s="38" t="s">
        <v>262</v>
      </c>
      <c r="F72" s="21"/>
      <c r="G72" s="56"/>
      <c r="H72" s="21"/>
      <c r="I72" s="57"/>
      <c r="J72" s="24"/>
      <c r="K72" s="24"/>
      <c r="L72" s="8"/>
      <c r="M72" s="37"/>
      <c r="N72" s="22"/>
    </row>
    <row r="73" spans="1:14" ht="14.5" x14ac:dyDescent="0.35">
      <c r="A73" s="33" t="str">
        <f>CONCATENATE("mldcat-ap-fair:","cell/",ROWS(A$11:A73))</f>
        <v>mldcat-ap-fair:cell/63</v>
      </c>
      <c r="B73" s="8" t="s">
        <v>24</v>
      </c>
      <c r="C73" s="38" t="s">
        <v>106</v>
      </c>
      <c r="D73" s="66" t="s">
        <v>588</v>
      </c>
      <c r="E73" s="38" t="s">
        <v>299</v>
      </c>
      <c r="F73" s="38"/>
      <c r="G73" s="56"/>
      <c r="H73" s="38"/>
      <c r="I73" s="36"/>
      <c r="J73" s="35"/>
      <c r="K73" s="8"/>
      <c r="L73" s="8"/>
      <c r="M73" s="58"/>
      <c r="N73" s="22"/>
    </row>
    <row r="74" spans="1:14" ht="15.75" customHeight="1" x14ac:dyDescent="0.35">
      <c r="A74" s="33" t="str">
        <f>CONCATENATE("mldcat-ap-fair:","cell/",ROWS(A$11:A74))</f>
        <v>mldcat-ap-fair:cell/64</v>
      </c>
      <c r="B74" s="8" t="s">
        <v>24</v>
      </c>
      <c r="C74" s="38" t="s">
        <v>82</v>
      </c>
      <c r="D74" s="66" t="s">
        <v>589</v>
      </c>
      <c r="E74" s="38" t="s">
        <v>300</v>
      </c>
      <c r="F74" s="56"/>
      <c r="G74" s="56"/>
      <c r="H74" s="56"/>
      <c r="I74" s="36"/>
      <c r="J74" s="35"/>
      <c r="K74" s="24"/>
      <c r="L74" s="8"/>
      <c r="M74" s="22"/>
      <c r="N74" s="22"/>
    </row>
    <row r="75" spans="1:14" ht="15.75" customHeight="1" x14ac:dyDescent="0.35">
      <c r="A75" s="33" t="str">
        <f>CONCATENATE("mldcat-ap-fair:","cell/",ROWS(A$11:A75))</f>
        <v>mldcat-ap-fair:cell/65</v>
      </c>
      <c r="B75" s="8" t="s">
        <v>24</v>
      </c>
      <c r="C75" s="38" t="s">
        <v>107</v>
      </c>
      <c r="D75" s="66" t="s">
        <v>590</v>
      </c>
      <c r="E75" s="38" t="s">
        <v>301</v>
      </c>
      <c r="F75" s="21"/>
      <c r="G75" s="56"/>
      <c r="H75" s="21"/>
      <c r="I75" s="36"/>
      <c r="J75" s="35"/>
      <c r="K75" s="24"/>
      <c r="L75" s="8"/>
      <c r="M75" s="22"/>
      <c r="N75" s="22"/>
    </row>
    <row r="76" spans="1:14" ht="15.75" customHeight="1" x14ac:dyDescent="0.35">
      <c r="A76" s="33" t="str">
        <f>CONCATENATE("mldcat-ap-fair:","cell/",ROWS(A$11:A76))</f>
        <v>mldcat-ap-fair:cell/66</v>
      </c>
      <c r="B76" s="8" t="s">
        <v>24</v>
      </c>
      <c r="C76" s="38" t="s">
        <v>108</v>
      </c>
      <c r="D76" s="66" t="s">
        <v>591</v>
      </c>
      <c r="E76" s="38" t="s">
        <v>302</v>
      </c>
      <c r="F76" s="24"/>
      <c r="G76" s="56"/>
      <c r="H76" s="24"/>
      <c r="I76" s="36"/>
      <c r="J76" s="35"/>
      <c r="K76" s="24"/>
      <c r="L76" s="8"/>
      <c r="M76" s="22"/>
      <c r="N76" s="22"/>
    </row>
    <row r="77" spans="1:14" ht="15.75" customHeight="1" x14ac:dyDescent="0.35">
      <c r="A77" s="33" t="str">
        <f>CONCATENATE("mldcat-ap-fair:","cell/",ROWS(A$11:A77))</f>
        <v>mldcat-ap-fair:cell/67</v>
      </c>
      <c r="B77" s="8" t="s">
        <v>24</v>
      </c>
      <c r="C77" s="38" t="s">
        <v>109</v>
      </c>
      <c r="D77" s="66" t="s">
        <v>592</v>
      </c>
      <c r="E77" s="38" t="s">
        <v>303</v>
      </c>
      <c r="F77" s="21"/>
      <c r="G77" s="56"/>
      <c r="H77" s="21"/>
      <c r="I77" s="57"/>
      <c r="J77" s="24"/>
      <c r="K77" s="24"/>
      <c r="L77" s="8"/>
      <c r="M77" s="22"/>
      <c r="N77" s="22"/>
    </row>
    <row r="78" spans="1:14" ht="15.75" customHeight="1" x14ac:dyDescent="0.35">
      <c r="A78" s="33" t="str">
        <f>CONCATENATE("mldcat-ap-fair:","cell/",ROWS(A$11:A78))</f>
        <v>mldcat-ap-fair:cell/68</v>
      </c>
      <c r="B78" s="8" t="s">
        <v>24</v>
      </c>
      <c r="C78" s="38" t="s">
        <v>110</v>
      </c>
      <c r="D78" s="66" t="s">
        <v>593</v>
      </c>
      <c r="E78" s="38" t="s">
        <v>304</v>
      </c>
      <c r="F78" s="21"/>
      <c r="G78" s="56"/>
      <c r="H78" s="21"/>
      <c r="I78" s="36"/>
      <c r="J78" s="35"/>
      <c r="K78" s="50"/>
      <c r="L78" s="8"/>
      <c r="M78" s="37"/>
      <c r="N78" s="37"/>
    </row>
    <row r="79" spans="1:14" ht="15.75" customHeight="1" x14ac:dyDescent="0.35">
      <c r="A79" s="33" t="str">
        <f>CONCATENATE("mldcat-ap-fair:","cell/",ROWS(A$11:A79))</f>
        <v>mldcat-ap-fair:cell/69</v>
      </c>
      <c r="B79" s="8" t="s">
        <v>24</v>
      </c>
      <c r="C79" s="38" t="s">
        <v>111</v>
      </c>
      <c r="D79" s="66" t="s">
        <v>594</v>
      </c>
      <c r="E79" s="38" t="s">
        <v>305</v>
      </c>
      <c r="F79" s="21"/>
      <c r="G79" s="56"/>
      <c r="H79" s="21"/>
      <c r="I79" s="57"/>
      <c r="J79" s="35"/>
      <c r="K79" s="50"/>
      <c r="L79" s="8"/>
      <c r="M79" s="22"/>
      <c r="N79" s="22"/>
    </row>
    <row r="80" spans="1:14" ht="15.75" customHeight="1" x14ac:dyDescent="0.35">
      <c r="A80" s="33" t="str">
        <f>CONCATENATE("mldcat-ap-fair:","cell/",ROWS(A$11:A80))</f>
        <v>mldcat-ap-fair:cell/70</v>
      </c>
      <c r="B80" s="8" t="s">
        <v>24</v>
      </c>
      <c r="C80" s="38" t="s">
        <v>112</v>
      </c>
      <c r="D80" s="66" t="s">
        <v>595</v>
      </c>
      <c r="E80" s="38" t="s">
        <v>306</v>
      </c>
      <c r="F80" s="21"/>
      <c r="G80" s="56"/>
      <c r="H80" s="21"/>
      <c r="I80" s="36"/>
      <c r="J80" s="35"/>
      <c r="K80" s="50"/>
      <c r="L80" s="8"/>
      <c r="M80" s="37"/>
      <c r="N80" s="22"/>
    </row>
    <row r="81" spans="1:14" ht="15.75" customHeight="1" x14ac:dyDescent="0.35">
      <c r="A81" s="33" t="str">
        <f>CONCATENATE("mldcat-ap-fair:","cell/",ROWS(A$11:A81))</f>
        <v>mldcat-ap-fair:cell/71</v>
      </c>
      <c r="B81" s="8" t="s">
        <v>24</v>
      </c>
      <c r="C81" s="38" t="s">
        <v>71</v>
      </c>
      <c r="D81" s="66" t="s">
        <v>596</v>
      </c>
      <c r="E81" s="38" t="s">
        <v>266</v>
      </c>
      <c r="F81" s="21"/>
      <c r="G81" s="56"/>
      <c r="H81" s="21"/>
      <c r="I81" s="36"/>
      <c r="J81" s="35"/>
      <c r="K81" s="50"/>
      <c r="L81" s="8"/>
      <c r="M81" s="37"/>
      <c r="N81" s="22"/>
    </row>
    <row r="82" spans="1:14" ht="15.75" customHeight="1" x14ac:dyDescent="0.35">
      <c r="A82" s="33" t="str">
        <f>CONCATENATE("mldcat-ap-fair:","cell/",ROWS(A$11:A82))</f>
        <v>mldcat-ap-fair:cell/72</v>
      </c>
      <c r="B82" s="8" t="s">
        <v>24</v>
      </c>
      <c r="C82" s="38" t="s">
        <v>74</v>
      </c>
      <c r="D82" s="66" t="s">
        <v>597</v>
      </c>
      <c r="E82" s="38" t="s">
        <v>307</v>
      </c>
      <c r="F82" s="53"/>
      <c r="G82" s="56"/>
      <c r="H82" s="53"/>
      <c r="I82" s="57"/>
      <c r="J82" s="24"/>
      <c r="K82" s="24"/>
      <c r="L82" s="8"/>
      <c r="M82" s="22"/>
      <c r="N82" s="22"/>
    </row>
    <row r="83" spans="1:14" ht="15.75" customHeight="1" x14ac:dyDescent="0.35">
      <c r="A83" s="33" t="str">
        <f>CONCATENATE("mldcat-ap-fair:","cell/",ROWS(A$11:A83))</f>
        <v>mldcat-ap-fair:cell/73</v>
      </c>
      <c r="B83" s="8" t="s">
        <v>24</v>
      </c>
      <c r="C83" s="38" t="s">
        <v>77</v>
      </c>
      <c r="D83" s="66" t="s">
        <v>598</v>
      </c>
      <c r="E83" s="38" t="s">
        <v>308</v>
      </c>
      <c r="F83" s="21"/>
      <c r="G83" s="56"/>
      <c r="H83" s="21"/>
      <c r="I83" s="57"/>
      <c r="J83" s="35"/>
      <c r="K83" s="50"/>
      <c r="L83" s="8"/>
      <c r="M83" s="37"/>
      <c r="N83" s="22"/>
    </row>
    <row r="84" spans="1:14" ht="15.75" customHeight="1" x14ac:dyDescent="0.35">
      <c r="A84" s="33" t="str">
        <f>CONCATENATE("mldcat-ap-fair:","cell/",ROWS(A$11:A84))</f>
        <v>mldcat-ap-fair:cell/74</v>
      </c>
      <c r="B84" s="8" t="s">
        <v>24</v>
      </c>
      <c r="C84" s="38" t="s">
        <v>113</v>
      </c>
      <c r="D84" s="66" t="s">
        <v>599</v>
      </c>
      <c r="E84" s="38" t="s">
        <v>309</v>
      </c>
      <c r="F84" s="59"/>
      <c r="G84" s="56"/>
      <c r="H84" s="59"/>
      <c r="I84" s="60"/>
      <c r="J84" s="61"/>
      <c r="K84" s="62"/>
      <c r="L84" s="8"/>
      <c r="M84" s="37"/>
      <c r="N84" s="22"/>
    </row>
    <row r="85" spans="1:14" ht="15.75" customHeight="1" x14ac:dyDescent="0.35">
      <c r="A85" s="33" t="str">
        <f>CONCATENATE("mldcat-ap-fair:","cell/",ROWS(A$11:A85))</f>
        <v>mldcat-ap-fair:cell/75</v>
      </c>
      <c r="B85" s="8" t="s">
        <v>24</v>
      </c>
      <c r="C85" s="38" t="s">
        <v>81</v>
      </c>
      <c r="D85" s="66" t="s">
        <v>600</v>
      </c>
      <c r="E85" s="38" t="s">
        <v>310</v>
      </c>
      <c r="F85" s="21"/>
      <c r="G85" s="56"/>
      <c r="H85" s="21"/>
      <c r="I85" s="60"/>
      <c r="J85" s="61"/>
      <c r="K85" s="63"/>
      <c r="L85" s="8"/>
      <c r="M85" s="22"/>
      <c r="N85" s="22"/>
    </row>
    <row r="86" spans="1:14" ht="15.75" customHeight="1" x14ac:dyDescent="0.35">
      <c r="A86" s="33" t="str">
        <f>CONCATENATE("mldcat-ap-fair:","cell/",ROWS(A$11:A86))</f>
        <v>mldcat-ap-fair:cell/76</v>
      </c>
      <c r="B86" s="8" t="s">
        <v>24</v>
      </c>
      <c r="C86" s="38" t="s">
        <v>83</v>
      </c>
      <c r="D86" s="66" t="s">
        <v>601</v>
      </c>
      <c r="E86" s="38" t="s">
        <v>269</v>
      </c>
      <c r="F86" s="59"/>
      <c r="G86" s="56"/>
      <c r="H86" s="59"/>
      <c r="I86" s="60"/>
      <c r="J86" s="61"/>
      <c r="K86" s="62"/>
      <c r="L86" s="8"/>
      <c r="M86" s="22"/>
      <c r="N86" s="22"/>
    </row>
    <row r="87" spans="1:14" ht="15.75" customHeight="1" x14ac:dyDescent="0.35">
      <c r="A87" s="33" t="str">
        <f>CONCATENATE("mldcat-ap-fair:","cell/",ROWS(A$11:A87))</f>
        <v>mldcat-ap-fair:cell/77</v>
      </c>
      <c r="B87" s="8" t="s">
        <v>24</v>
      </c>
      <c r="C87" s="38" t="s">
        <v>40</v>
      </c>
      <c r="D87" s="66" t="s">
        <v>602</v>
      </c>
      <c r="E87" s="38" t="s">
        <v>311</v>
      </c>
      <c r="F87" s="59"/>
      <c r="G87" s="56"/>
      <c r="H87" s="59"/>
      <c r="I87" s="60"/>
      <c r="J87" s="61"/>
      <c r="K87" s="62"/>
      <c r="L87" s="8"/>
      <c r="M87" s="22"/>
      <c r="N87" s="22"/>
    </row>
    <row r="88" spans="1:14" ht="15.75" customHeight="1" x14ac:dyDescent="0.35">
      <c r="A88" s="33" t="str">
        <f>CONCATENATE("mldcat-ap-fair:","cell/",ROWS(A$11:A88))</f>
        <v>mldcat-ap-fair:cell/78</v>
      </c>
      <c r="B88" s="8" t="s">
        <v>24</v>
      </c>
      <c r="C88" s="38" t="s">
        <v>47</v>
      </c>
      <c r="D88" s="66" t="s">
        <v>603</v>
      </c>
      <c r="E88" s="38" t="s">
        <v>312</v>
      </c>
      <c r="F88" s="21"/>
      <c r="G88" s="56"/>
      <c r="H88" s="21"/>
      <c r="I88" s="60"/>
      <c r="J88" s="61"/>
      <c r="K88" s="62"/>
      <c r="L88" s="8"/>
      <c r="M88" s="22"/>
      <c r="N88" s="22"/>
    </row>
    <row r="89" spans="1:14" ht="15.75" customHeight="1" x14ac:dyDescent="0.35">
      <c r="A89" s="33" t="str">
        <f>CONCATENATE("mldcat-ap-fair:","cell/",ROWS(A$11:A89))</f>
        <v>mldcat-ap-fair:cell/79</v>
      </c>
      <c r="B89" s="8" t="s">
        <v>24</v>
      </c>
      <c r="C89" s="38" t="s">
        <v>48</v>
      </c>
      <c r="D89" s="66" t="s">
        <v>604</v>
      </c>
      <c r="E89" s="38" t="s">
        <v>313</v>
      </c>
      <c r="F89" s="59"/>
      <c r="G89" s="56"/>
      <c r="H89" s="59"/>
      <c r="I89" s="60"/>
      <c r="J89" s="61"/>
      <c r="K89" s="62"/>
      <c r="L89" s="8"/>
      <c r="M89" s="22"/>
      <c r="N89" s="37"/>
    </row>
    <row r="90" spans="1:14" ht="15.75" customHeight="1" x14ac:dyDescent="0.35">
      <c r="A90" s="33" t="str">
        <f>CONCATENATE("mldcat-ap-fair:","cell/",ROWS(A$11:A90))</f>
        <v>mldcat-ap-fair:cell/80</v>
      </c>
      <c r="B90" s="8" t="s">
        <v>24</v>
      </c>
      <c r="C90" s="38" t="s">
        <v>107</v>
      </c>
      <c r="D90" s="66" t="s">
        <v>605</v>
      </c>
      <c r="E90" s="38" t="s">
        <v>314</v>
      </c>
      <c r="F90" s="59"/>
      <c r="G90" s="56"/>
      <c r="H90" s="59"/>
      <c r="I90" s="60"/>
      <c r="J90" s="61"/>
      <c r="K90" s="62"/>
      <c r="L90" s="8"/>
      <c r="M90" s="22"/>
      <c r="N90" s="37"/>
    </row>
    <row r="91" spans="1:14" ht="15.75" customHeight="1" x14ac:dyDescent="0.35">
      <c r="A91" s="33" t="str">
        <f>CONCATENATE("mldcat-ap-fair:","cell/",ROWS(A$11:A91))</f>
        <v>mldcat-ap-fair:cell/81</v>
      </c>
      <c r="B91" s="8" t="s">
        <v>24</v>
      </c>
      <c r="C91" s="38" t="s">
        <v>49</v>
      </c>
      <c r="D91" s="66" t="s">
        <v>606</v>
      </c>
      <c r="E91" s="38" t="s">
        <v>315</v>
      </c>
      <c r="F91" s="53"/>
      <c r="G91" s="56"/>
      <c r="H91" s="53"/>
      <c r="I91" s="57"/>
      <c r="J91" s="24"/>
      <c r="K91" s="24"/>
      <c r="L91" s="8"/>
      <c r="M91" s="22"/>
      <c r="N91" s="22"/>
    </row>
    <row r="92" spans="1:14" ht="15.75" customHeight="1" x14ac:dyDescent="0.35">
      <c r="A92" s="33" t="str">
        <f>CONCATENATE("mldcat-ap-fair:","cell/",ROWS(A$11:A92))</f>
        <v>mldcat-ap-fair:cell/82</v>
      </c>
      <c r="B92" s="8" t="s">
        <v>24</v>
      </c>
      <c r="C92" s="38" t="s">
        <v>54</v>
      </c>
      <c r="D92" s="66" t="s">
        <v>607</v>
      </c>
      <c r="E92" s="38" t="s">
        <v>316</v>
      </c>
      <c r="F92" s="59"/>
      <c r="G92" s="56"/>
      <c r="H92" s="59"/>
      <c r="I92" s="60"/>
      <c r="J92" s="61"/>
      <c r="K92" s="62"/>
      <c r="L92" s="8"/>
      <c r="M92" s="22"/>
      <c r="N92" s="22"/>
    </row>
    <row r="93" spans="1:14" ht="15.75" customHeight="1" x14ac:dyDescent="0.35">
      <c r="A93" s="33" t="str">
        <f>CONCATENATE("mldcat-ap-fair:","cell/",ROWS(A$11:A93))</f>
        <v>mldcat-ap-fair:cell/83</v>
      </c>
      <c r="B93" s="8" t="s">
        <v>24</v>
      </c>
      <c r="C93" s="38" t="s">
        <v>37</v>
      </c>
      <c r="D93" s="66" t="s">
        <v>608</v>
      </c>
      <c r="E93" s="38" t="s">
        <v>317</v>
      </c>
      <c r="F93" s="59"/>
      <c r="G93" s="56"/>
      <c r="H93" s="59"/>
      <c r="I93" s="60"/>
      <c r="J93" s="61"/>
      <c r="K93" s="62"/>
      <c r="L93" s="8"/>
      <c r="M93" s="22"/>
      <c r="N93" s="22"/>
    </row>
    <row r="94" spans="1:14" ht="15.75" customHeight="1" x14ac:dyDescent="0.35">
      <c r="A94" s="33" t="str">
        <f>CONCATENATE("mldcat-ap-fair:","cell/",ROWS(A$11:A94))</f>
        <v>mldcat-ap-fair:cell/84</v>
      </c>
      <c r="B94" s="8" t="s">
        <v>24</v>
      </c>
      <c r="C94" s="38" t="s">
        <v>114</v>
      </c>
      <c r="D94" s="66" t="s">
        <v>609</v>
      </c>
      <c r="E94" s="38" t="s">
        <v>318</v>
      </c>
      <c r="F94" s="59"/>
      <c r="G94" s="56"/>
      <c r="H94" s="59"/>
      <c r="I94" s="60"/>
      <c r="J94" s="61"/>
      <c r="K94" s="62"/>
      <c r="L94" s="8"/>
      <c r="M94" s="22"/>
      <c r="N94" s="22"/>
    </row>
    <row r="95" spans="1:14" ht="15.75" customHeight="1" x14ac:dyDescent="0.35">
      <c r="A95" s="33" t="str">
        <f>CONCATENATE("mldcat-ap-fair:","cell/",ROWS(A$11:A95))</f>
        <v>mldcat-ap-fair:cell/85</v>
      </c>
      <c r="B95" s="8" t="s">
        <v>24</v>
      </c>
      <c r="C95" s="38" t="s">
        <v>115</v>
      </c>
      <c r="D95" s="66" t="s">
        <v>610</v>
      </c>
      <c r="E95" s="38" t="s">
        <v>319</v>
      </c>
      <c r="F95" s="59"/>
      <c r="G95" s="56"/>
      <c r="H95" s="59"/>
      <c r="I95" s="60"/>
      <c r="J95" s="61"/>
      <c r="K95" s="62"/>
      <c r="L95" s="8"/>
      <c r="M95" s="22"/>
      <c r="N95" s="22"/>
    </row>
    <row r="96" spans="1:14" ht="15.75" customHeight="1" x14ac:dyDescent="0.35">
      <c r="A96" s="33" t="str">
        <f>CONCATENATE("mldcat-ap-fair:","cell/",ROWS(A$11:A96))</f>
        <v>mldcat-ap-fair:cell/86</v>
      </c>
      <c r="B96" s="8" t="s">
        <v>24</v>
      </c>
      <c r="C96" s="38" t="s">
        <v>116</v>
      </c>
      <c r="D96" s="66" t="s">
        <v>611</v>
      </c>
      <c r="E96" s="38" t="s">
        <v>320</v>
      </c>
      <c r="F96" s="59"/>
      <c r="G96" s="56"/>
      <c r="H96" s="59"/>
      <c r="I96" s="60"/>
      <c r="J96" s="61"/>
      <c r="K96" s="62"/>
      <c r="L96" s="8"/>
      <c r="M96" s="22"/>
      <c r="N96" s="22"/>
    </row>
    <row r="97" spans="1:14" ht="15.75" customHeight="1" x14ac:dyDescent="0.35">
      <c r="A97" s="33" t="str">
        <f>CONCATENATE("mldcat-ap-fair:","cell/",ROWS(A$11:A97))</f>
        <v>mldcat-ap-fair:cell/87</v>
      </c>
      <c r="B97" s="8" t="s">
        <v>24</v>
      </c>
      <c r="C97" s="38" t="s">
        <v>117</v>
      </c>
      <c r="D97" s="66" t="s">
        <v>612</v>
      </c>
      <c r="E97" s="38" t="s">
        <v>268</v>
      </c>
      <c r="F97" s="53"/>
      <c r="G97" s="56"/>
      <c r="H97" s="53"/>
      <c r="I97" s="60"/>
      <c r="J97" s="61"/>
      <c r="K97" s="62"/>
      <c r="L97" s="8"/>
      <c r="M97" s="22"/>
      <c r="N97" s="22"/>
    </row>
    <row r="98" spans="1:14" ht="15.75" customHeight="1" x14ac:dyDescent="0.35">
      <c r="A98" s="33" t="str">
        <f>CONCATENATE("mldcat-ap-fair:","cell/",ROWS(A$11:A98))</f>
        <v>mldcat-ap-fair:cell/88</v>
      </c>
      <c r="B98" s="8" t="s">
        <v>24</v>
      </c>
      <c r="C98" s="38" t="s">
        <v>118</v>
      </c>
      <c r="D98" s="66" t="s">
        <v>613</v>
      </c>
      <c r="E98" s="38" t="s">
        <v>321</v>
      </c>
      <c r="F98" s="59"/>
      <c r="G98" s="56"/>
      <c r="H98" s="59"/>
      <c r="I98" s="60"/>
      <c r="J98" s="61"/>
      <c r="K98" s="62"/>
      <c r="L98" s="8"/>
      <c r="M98" s="22"/>
      <c r="N98" s="22"/>
    </row>
    <row r="99" spans="1:14" ht="15.75" customHeight="1" x14ac:dyDescent="0.35">
      <c r="A99" s="33" t="str">
        <f>CONCATENATE("mldcat-ap-fair:","cell/",ROWS(A$11:A99))</f>
        <v>mldcat-ap-fair:cell/89</v>
      </c>
      <c r="B99" s="8" t="s">
        <v>24</v>
      </c>
      <c r="C99" s="38" t="s">
        <v>84</v>
      </c>
      <c r="D99" s="66" t="s">
        <v>614</v>
      </c>
      <c r="E99" s="38" t="s">
        <v>322</v>
      </c>
      <c r="F99" s="59"/>
      <c r="G99" s="56"/>
      <c r="H99" s="59"/>
      <c r="I99" s="60"/>
      <c r="J99" s="61"/>
      <c r="K99" s="62"/>
      <c r="L99" s="8"/>
      <c r="M99" s="22"/>
      <c r="N99" s="22"/>
    </row>
    <row r="100" spans="1:14" ht="15.75" customHeight="1" x14ac:dyDescent="0.35">
      <c r="A100" s="33" t="str">
        <f>CONCATENATE("mldcat-ap-fair:","cell/",ROWS(A$11:A100))</f>
        <v>mldcat-ap-fair:cell/90</v>
      </c>
      <c r="B100" s="8" t="s">
        <v>24</v>
      </c>
      <c r="C100" s="38" t="s">
        <v>31</v>
      </c>
      <c r="D100" s="66" t="s">
        <v>615</v>
      </c>
      <c r="E100" s="38" t="s">
        <v>323</v>
      </c>
      <c r="F100" s="59"/>
      <c r="G100" s="56"/>
      <c r="H100" s="59"/>
      <c r="I100" s="60"/>
      <c r="J100" s="61"/>
      <c r="K100" s="62"/>
      <c r="L100" s="8"/>
      <c r="M100" s="22"/>
      <c r="N100" s="22"/>
    </row>
    <row r="101" spans="1:14" ht="15.75" customHeight="1" x14ac:dyDescent="0.35">
      <c r="A101" s="33" t="str">
        <f>CONCATENATE("mldcat-ap-fair:","cell/",ROWS(A$11:A101))</f>
        <v>mldcat-ap-fair:cell/91</v>
      </c>
      <c r="B101" s="8" t="s">
        <v>24</v>
      </c>
      <c r="C101" s="38" t="s">
        <v>119</v>
      </c>
      <c r="D101" s="66" t="s">
        <v>616</v>
      </c>
      <c r="E101" s="38" t="s">
        <v>324</v>
      </c>
      <c r="F101" s="53"/>
      <c r="G101" s="56"/>
      <c r="H101" s="53"/>
      <c r="I101" s="57"/>
      <c r="J101" s="24"/>
      <c r="K101" s="24"/>
      <c r="L101" s="24"/>
      <c r="M101" s="22"/>
      <c r="N101" s="22"/>
    </row>
    <row r="102" spans="1:14" ht="15.75" customHeight="1" x14ac:dyDescent="0.35">
      <c r="A102" s="33" t="str">
        <f>CONCATENATE("mldcat-ap-fair:","cell/",ROWS(A$11:A102))</f>
        <v>mldcat-ap-fair:cell/92</v>
      </c>
      <c r="B102" s="8" t="s">
        <v>24</v>
      </c>
      <c r="C102" s="38" t="s">
        <v>45</v>
      </c>
      <c r="D102" s="66" t="s">
        <v>617</v>
      </c>
      <c r="E102" s="38" t="s">
        <v>325</v>
      </c>
      <c r="F102" s="53"/>
      <c r="G102" s="56"/>
      <c r="H102" s="53"/>
      <c r="I102" s="57"/>
      <c r="J102" s="24"/>
      <c r="K102" s="24"/>
      <c r="L102" s="24"/>
      <c r="M102" s="22"/>
      <c r="N102" s="22"/>
    </row>
    <row r="103" spans="1:14" ht="15.75" customHeight="1" x14ac:dyDescent="0.35">
      <c r="A103" s="33" t="str">
        <f>CONCATENATE("mldcat-ap-fair:","cell/",ROWS(A$11:A103))</f>
        <v>mldcat-ap-fair:cell/93</v>
      </c>
      <c r="B103" s="8" t="s">
        <v>24</v>
      </c>
      <c r="C103" s="38" t="s">
        <v>120</v>
      </c>
      <c r="D103" s="66" t="s">
        <v>618</v>
      </c>
      <c r="E103" s="38" t="s">
        <v>326</v>
      </c>
      <c r="F103" s="53"/>
      <c r="G103" s="56"/>
      <c r="H103" s="53"/>
      <c r="I103" s="57"/>
      <c r="J103" s="24"/>
      <c r="K103" s="24"/>
      <c r="L103" s="24"/>
      <c r="M103" s="22"/>
      <c r="N103" s="22"/>
    </row>
    <row r="104" spans="1:14" ht="15.75" customHeight="1" x14ac:dyDescent="0.35">
      <c r="A104" s="33" t="str">
        <f>CONCATENATE("mldcat-ap-fair:","cell/",ROWS(A$11:A104))</f>
        <v>mldcat-ap-fair:cell/94</v>
      </c>
      <c r="B104" s="8" t="s">
        <v>24</v>
      </c>
      <c r="C104" s="38" t="s">
        <v>71</v>
      </c>
      <c r="D104" s="66" t="s">
        <v>619</v>
      </c>
      <c r="E104" s="38" t="s">
        <v>266</v>
      </c>
      <c r="F104" s="53"/>
      <c r="G104" s="56"/>
      <c r="H104" s="53"/>
      <c r="I104" s="57"/>
      <c r="J104" s="24"/>
      <c r="K104" s="24"/>
      <c r="L104" s="24"/>
      <c r="M104" s="22"/>
      <c r="N104" s="22"/>
    </row>
    <row r="105" spans="1:14" ht="15.75" customHeight="1" x14ac:dyDescent="0.35">
      <c r="A105" s="33" t="str">
        <f>CONCATENATE("mldcat-ap-fair:","cell/",ROWS(A$11:A105))</f>
        <v>mldcat-ap-fair:cell/95</v>
      </c>
      <c r="B105" s="8" t="s">
        <v>24</v>
      </c>
      <c r="C105" s="38" t="s">
        <v>121</v>
      </c>
      <c r="D105" s="66" t="s">
        <v>620</v>
      </c>
      <c r="E105" s="38" t="s">
        <v>327</v>
      </c>
      <c r="F105" s="53"/>
      <c r="G105" s="56"/>
      <c r="H105" s="53"/>
      <c r="I105" s="57"/>
      <c r="J105" s="24"/>
      <c r="K105" s="24"/>
      <c r="L105" s="24"/>
      <c r="M105" s="22"/>
      <c r="N105" s="22"/>
    </row>
    <row r="106" spans="1:14" ht="15.75" customHeight="1" x14ac:dyDescent="0.35">
      <c r="A106" s="33" t="str">
        <f>CONCATENATE("mldcat-ap-fair:","cell/",ROWS(A$11:A106))</f>
        <v>mldcat-ap-fair:cell/96</v>
      </c>
      <c r="B106" s="8" t="s">
        <v>24</v>
      </c>
      <c r="C106" s="38" t="s">
        <v>122</v>
      </c>
      <c r="D106" s="66" t="s">
        <v>621</v>
      </c>
      <c r="E106" s="38" t="s">
        <v>328</v>
      </c>
      <c r="F106" s="53"/>
      <c r="G106" s="56"/>
      <c r="H106" s="53"/>
      <c r="I106" s="57"/>
      <c r="J106" s="24"/>
      <c r="K106" s="24"/>
      <c r="L106" s="24"/>
      <c r="M106" s="22"/>
      <c r="N106" s="22"/>
    </row>
    <row r="107" spans="1:14" ht="15.75" customHeight="1" x14ac:dyDescent="0.35">
      <c r="A107" s="33" t="str">
        <f>CONCATENATE("mldcat-ap-fair:","cell/",ROWS(A$11:A107))</f>
        <v>mldcat-ap-fair:cell/97</v>
      </c>
      <c r="B107" s="8" t="s">
        <v>24</v>
      </c>
      <c r="C107" s="38" t="s">
        <v>61</v>
      </c>
      <c r="D107" s="66" t="s">
        <v>622</v>
      </c>
      <c r="E107" s="38" t="s">
        <v>260</v>
      </c>
      <c r="F107" s="53"/>
      <c r="G107" s="56"/>
      <c r="H107" s="53"/>
      <c r="I107" s="57"/>
      <c r="J107" s="24"/>
      <c r="K107" s="24"/>
      <c r="L107" s="24"/>
      <c r="M107" s="22"/>
      <c r="N107" s="22"/>
    </row>
    <row r="108" spans="1:14" ht="15.75" customHeight="1" x14ac:dyDescent="0.35">
      <c r="A108" s="33" t="str">
        <f>CONCATENATE("mldcat-ap-fair:","cell/",ROWS(A$11:A108))</f>
        <v>mldcat-ap-fair:cell/98</v>
      </c>
      <c r="B108" s="8" t="s">
        <v>24</v>
      </c>
      <c r="C108" s="38" t="s">
        <v>63</v>
      </c>
      <c r="D108" s="66" t="s">
        <v>623</v>
      </c>
      <c r="E108" s="38" t="s">
        <v>262</v>
      </c>
      <c r="F108" s="53"/>
      <c r="G108" s="56"/>
      <c r="H108" s="53"/>
      <c r="I108" s="57"/>
      <c r="J108" s="24"/>
      <c r="K108" s="24"/>
      <c r="L108" s="24"/>
      <c r="M108" s="22"/>
      <c r="N108" s="22"/>
    </row>
    <row r="109" spans="1:14" ht="15.75" customHeight="1" x14ac:dyDescent="0.35">
      <c r="A109" s="33" t="str">
        <f>CONCATENATE("mldcat-ap-fair:","cell/",ROWS(A$11:A109))</f>
        <v>mldcat-ap-fair:cell/99</v>
      </c>
      <c r="B109" s="8" t="s">
        <v>24</v>
      </c>
      <c r="C109" s="38" t="s">
        <v>71</v>
      </c>
      <c r="D109" s="66" t="s">
        <v>624</v>
      </c>
      <c r="E109" s="38" t="s">
        <v>266</v>
      </c>
      <c r="F109" s="53"/>
      <c r="G109" s="56"/>
      <c r="H109" s="53"/>
      <c r="I109" s="57"/>
      <c r="J109" s="24"/>
      <c r="K109" s="24"/>
      <c r="L109" s="24"/>
      <c r="M109" s="22"/>
      <c r="N109" s="22"/>
    </row>
    <row r="110" spans="1:14" ht="15.75" customHeight="1" x14ac:dyDescent="0.35">
      <c r="A110" s="33" t="str">
        <f>CONCATENATE("mldcat-ap-fair:","cell/",ROWS(A$11:A110))</f>
        <v>mldcat-ap-fair:cell/100</v>
      </c>
      <c r="B110" s="8" t="s">
        <v>24</v>
      </c>
      <c r="C110" s="38" t="s">
        <v>103</v>
      </c>
      <c r="D110" s="66" t="s">
        <v>625</v>
      </c>
      <c r="E110" s="38" t="s">
        <v>287</v>
      </c>
      <c r="F110" s="53"/>
      <c r="G110" s="56"/>
      <c r="H110" s="53"/>
      <c r="I110" s="57"/>
      <c r="J110" s="24"/>
      <c r="K110" s="24"/>
      <c r="L110" s="24"/>
      <c r="M110" s="22"/>
      <c r="N110" s="22"/>
    </row>
    <row r="111" spans="1:14" ht="15.75" customHeight="1" x14ac:dyDescent="0.35">
      <c r="A111" s="33" t="str">
        <f>CONCATENATE("mldcat-ap-fair:","cell/",ROWS(A$11:A111))</f>
        <v>mldcat-ap-fair:cell/101</v>
      </c>
      <c r="B111" s="8" t="s">
        <v>24</v>
      </c>
      <c r="C111" s="38" t="s">
        <v>123</v>
      </c>
      <c r="D111" s="66" t="s">
        <v>626</v>
      </c>
      <c r="E111" s="38" t="s">
        <v>329</v>
      </c>
      <c r="F111" s="53"/>
      <c r="G111" s="56"/>
      <c r="H111" s="53"/>
      <c r="I111" s="57"/>
      <c r="J111" s="24"/>
      <c r="K111" s="24"/>
      <c r="L111" s="24"/>
      <c r="M111" s="22"/>
      <c r="N111" s="22"/>
    </row>
    <row r="112" spans="1:14" ht="15.75" customHeight="1" x14ac:dyDescent="0.35">
      <c r="A112" s="33" t="str">
        <f>CONCATENATE("mldcat-ap-fair:","cell/",ROWS(A$11:A112))</f>
        <v>mldcat-ap-fair:cell/102</v>
      </c>
      <c r="B112" s="8" t="s">
        <v>24</v>
      </c>
      <c r="C112" s="38" t="s">
        <v>124</v>
      </c>
      <c r="D112" s="66" t="s">
        <v>627</v>
      </c>
      <c r="E112" s="38" t="s">
        <v>330</v>
      </c>
      <c r="F112" s="53"/>
      <c r="G112" s="56"/>
      <c r="H112" s="53"/>
      <c r="I112" s="57"/>
      <c r="J112" s="24"/>
      <c r="K112" s="24"/>
      <c r="L112" s="24"/>
      <c r="M112" s="22"/>
      <c r="N112" s="22"/>
    </row>
    <row r="113" spans="1:14" ht="15.75" customHeight="1" x14ac:dyDescent="0.35">
      <c r="A113" s="33" t="str">
        <f>CONCATENATE("mldcat-ap-fair:","cell/",ROWS(A$11:A113))</f>
        <v>mldcat-ap-fair:cell/103</v>
      </c>
      <c r="B113" s="8" t="s">
        <v>24</v>
      </c>
      <c r="C113" s="38" t="s">
        <v>71</v>
      </c>
      <c r="D113" s="66" t="s">
        <v>628</v>
      </c>
      <c r="E113" s="38" t="s">
        <v>266</v>
      </c>
      <c r="F113" s="53"/>
      <c r="G113" s="56"/>
      <c r="H113" s="53"/>
      <c r="I113" s="57"/>
      <c r="J113" s="24"/>
      <c r="K113" s="24"/>
      <c r="L113" s="24"/>
      <c r="M113" s="22"/>
      <c r="N113" s="22"/>
    </row>
    <row r="114" spans="1:14" ht="15.75" customHeight="1" x14ac:dyDescent="0.35">
      <c r="A114" s="33" t="str">
        <f>CONCATENATE("mldcat-ap-fair:","cell/",ROWS(A$11:A114))</f>
        <v>mldcat-ap-fair:cell/104</v>
      </c>
      <c r="B114" s="8" t="s">
        <v>24</v>
      </c>
      <c r="C114" s="38" t="s">
        <v>125</v>
      </c>
      <c r="D114" s="66" t="s">
        <v>629</v>
      </c>
      <c r="E114" s="38" t="s">
        <v>331</v>
      </c>
      <c r="F114" s="53"/>
      <c r="G114" s="56"/>
      <c r="H114" s="53"/>
      <c r="I114" s="57"/>
      <c r="J114" s="24"/>
      <c r="K114" s="24"/>
      <c r="L114" s="24"/>
      <c r="M114" s="22"/>
      <c r="N114" s="22"/>
    </row>
    <row r="115" spans="1:14" ht="15.75" customHeight="1" x14ac:dyDescent="0.35">
      <c r="A115" s="33" t="str">
        <f>CONCATENATE("mldcat-ap-fair:","cell/",ROWS(A$11:A115))</f>
        <v>mldcat-ap-fair:cell/105</v>
      </c>
      <c r="B115" s="8" t="s">
        <v>24</v>
      </c>
      <c r="C115" s="38" t="s">
        <v>126</v>
      </c>
      <c r="D115" s="66" t="s">
        <v>630</v>
      </c>
      <c r="E115" s="38" t="s">
        <v>332</v>
      </c>
      <c r="F115" s="53"/>
      <c r="G115" s="56"/>
      <c r="H115" s="53"/>
      <c r="I115" s="57"/>
      <c r="J115" s="24"/>
      <c r="K115" s="24"/>
      <c r="L115" s="24"/>
      <c r="M115" s="22"/>
      <c r="N115" s="22"/>
    </row>
    <row r="116" spans="1:14" ht="15.75" customHeight="1" x14ac:dyDescent="0.35">
      <c r="A116" s="33" t="str">
        <f>CONCATENATE("mldcat-ap-fair:","cell/",ROWS(A$11:A116))</f>
        <v>mldcat-ap-fair:cell/106</v>
      </c>
      <c r="B116" s="8" t="s">
        <v>24</v>
      </c>
      <c r="C116" s="38" t="s">
        <v>127</v>
      </c>
      <c r="D116" s="66" t="s">
        <v>631</v>
      </c>
      <c r="E116" s="38" t="s">
        <v>333</v>
      </c>
      <c r="F116" s="53"/>
      <c r="G116" s="56"/>
      <c r="H116" s="53"/>
      <c r="I116" s="57"/>
      <c r="J116" s="24"/>
      <c r="K116" s="24"/>
      <c r="L116" s="24"/>
      <c r="M116" s="22"/>
      <c r="N116" s="22"/>
    </row>
    <row r="117" spans="1:14" ht="15.75" customHeight="1" x14ac:dyDescent="0.35">
      <c r="A117" s="33" t="str">
        <f>CONCATENATE("mldcat-ap-fair:","cell/",ROWS(A$11:A117))</f>
        <v>mldcat-ap-fair:cell/107</v>
      </c>
      <c r="B117" s="8" t="s">
        <v>24</v>
      </c>
      <c r="C117" s="38" t="s">
        <v>128</v>
      </c>
      <c r="D117" s="66" t="s">
        <v>632</v>
      </c>
      <c r="E117" s="38" t="s">
        <v>334</v>
      </c>
      <c r="F117" s="53"/>
      <c r="G117" s="56"/>
      <c r="H117" s="53"/>
      <c r="I117" s="57"/>
      <c r="J117" s="24"/>
      <c r="K117" s="24"/>
      <c r="L117" s="24"/>
      <c r="M117" s="22"/>
      <c r="N117" s="22"/>
    </row>
    <row r="118" spans="1:14" ht="15.75" customHeight="1" x14ac:dyDescent="0.35">
      <c r="A118" s="33" t="str">
        <f>CONCATENATE("mldcat-ap-fair:","cell/",ROWS(A$11:A118))</f>
        <v>mldcat-ap-fair:cell/108</v>
      </c>
      <c r="B118" s="8" t="s">
        <v>24</v>
      </c>
      <c r="C118" s="38" t="s">
        <v>61</v>
      </c>
      <c r="D118" s="66" t="s">
        <v>633</v>
      </c>
      <c r="E118" s="38" t="s">
        <v>260</v>
      </c>
      <c r="F118" s="53"/>
      <c r="G118" s="56"/>
      <c r="H118" s="53"/>
      <c r="I118" s="57"/>
      <c r="J118" s="24"/>
      <c r="K118" s="24"/>
      <c r="L118" s="24"/>
      <c r="M118" s="22"/>
      <c r="N118" s="22"/>
    </row>
    <row r="119" spans="1:14" ht="15.75" customHeight="1" x14ac:dyDescent="0.35">
      <c r="A119" s="33" t="str">
        <f>CONCATENATE("mldcat-ap-fair:","cell/",ROWS(A$11:A119))</f>
        <v>mldcat-ap-fair:cell/109</v>
      </c>
      <c r="B119" s="8" t="s">
        <v>24</v>
      </c>
      <c r="C119" s="38" t="s">
        <v>63</v>
      </c>
      <c r="D119" s="66" t="s">
        <v>634</v>
      </c>
      <c r="E119" s="38" t="s">
        <v>262</v>
      </c>
      <c r="F119" s="53"/>
      <c r="G119" s="56"/>
      <c r="H119" s="53"/>
      <c r="I119" s="57"/>
      <c r="J119" s="24"/>
      <c r="K119" s="24"/>
      <c r="L119" s="24"/>
      <c r="M119" s="22"/>
      <c r="N119" s="22"/>
    </row>
    <row r="120" spans="1:14" ht="15.75" customHeight="1" x14ac:dyDescent="0.35">
      <c r="A120" s="33" t="str">
        <f>CONCATENATE("mldcat-ap-fair:","cell/",ROWS(A$11:A120))</f>
        <v>mldcat-ap-fair:cell/110</v>
      </c>
      <c r="B120" s="8" t="s">
        <v>24</v>
      </c>
      <c r="C120" s="38" t="s">
        <v>71</v>
      </c>
      <c r="D120" s="66" t="s">
        <v>635</v>
      </c>
      <c r="E120" s="38" t="s">
        <v>266</v>
      </c>
      <c r="F120" s="53"/>
      <c r="G120" s="56"/>
      <c r="H120" s="53"/>
      <c r="I120" s="57"/>
      <c r="J120" s="24"/>
      <c r="K120" s="24"/>
      <c r="L120" s="24"/>
      <c r="M120" s="22"/>
      <c r="N120" s="22"/>
    </row>
    <row r="121" spans="1:14" ht="15.75" customHeight="1" x14ac:dyDescent="0.35">
      <c r="A121" s="33" t="str">
        <f>CONCATENATE("mldcat-ap-fair:","cell/",ROWS(A$11:A121))</f>
        <v>mldcat-ap-fair:cell/111</v>
      </c>
      <c r="B121" s="8" t="s">
        <v>24</v>
      </c>
      <c r="C121" s="38" t="s">
        <v>129</v>
      </c>
      <c r="D121" s="66" t="s">
        <v>636</v>
      </c>
      <c r="E121" s="38" t="s">
        <v>335</v>
      </c>
      <c r="F121" s="53"/>
      <c r="G121" s="56"/>
      <c r="H121" s="53"/>
      <c r="I121" s="57"/>
      <c r="J121" s="24"/>
      <c r="K121" s="24"/>
      <c r="L121" s="24"/>
      <c r="M121" s="22"/>
      <c r="N121" s="22"/>
    </row>
    <row r="122" spans="1:14" ht="15.75" customHeight="1" x14ac:dyDescent="0.35">
      <c r="A122" s="33" t="str">
        <f>CONCATENATE("mldcat-ap-fair:","cell/",ROWS(A$11:A122))</f>
        <v>mldcat-ap-fair:cell/112</v>
      </c>
      <c r="B122" s="8" t="s">
        <v>24</v>
      </c>
      <c r="C122" s="38" t="s">
        <v>130</v>
      </c>
      <c r="D122" s="66" t="s">
        <v>637</v>
      </c>
      <c r="E122" s="38" t="s">
        <v>336</v>
      </c>
      <c r="F122" s="53"/>
      <c r="G122" s="56"/>
      <c r="H122" s="53"/>
      <c r="I122" s="57"/>
      <c r="J122" s="24"/>
      <c r="K122" s="24"/>
      <c r="L122" s="24"/>
      <c r="M122" s="22"/>
      <c r="N122" s="22"/>
    </row>
    <row r="123" spans="1:14" ht="15.75" customHeight="1" x14ac:dyDescent="0.35">
      <c r="A123" s="33" t="str">
        <f>CONCATENATE("mldcat-ap-fair:","cell/",ROWS(A$11:A123))</f>
        <v>mldcat-ap-fair:cell/113</v>
      </c>
      <c r="B123" s="8" t="s">
        <v>24</v>
      </c>
      <c r="C123" s="38" t="s">
        <v>131</v>
      </c>
      <c r="D123" s="66" t="s">
        <v>638</v>
      </c>
      <c r="E123" s="38" t="s">
        <v>337</v>
      </c>
      <c r="F123" s="53"/>
      <c r="G123" s="56"/>
      <c r="H123" s="53"/>
      <c r="I123" s="57"/>
      <c r="J123" s="24"/>
      <c r="K123" s="24"/>
      <c r="L123" s="24"/>
      <c r="M123" s="22"/>
      <c r="N123" s="22"/>
    </row>
    <row r="124" spans="1:14" ht="15.75" customHeight="1" x14ac:dyDescent="0.35">
      <c r="A124" s="33" t="str">
        <f>CONCATENATE("mldcat-ap-fair:","cell/",ROWS(A$11:A124))</f>
        <v>mldcat-ap-fair:cell/114</v>
      </c>
      <c r="B124" s="8" t="s">
        <v>24</v>
      </c>
      <c r="C124" s="38" t="s">
        <v>132</v>
      </c>
      <c r="D124" s="66" t="s">
        <v>639</v>
      </c>
      <c r="E124" s="38" t="s">
        <v>338</v>
      </c>
      <c r="F124" s="53"/>
      <c r="G124" s="56"/>
      <c r="H124" s="53"/>
      <c r="I124" s="57"/>
      <c r="J124" s="24"/>
      <c r="K124" s="24"/>
      <c r="L124" s="24"/>
      <c r="M124" s="22"/>
      <c r="N124" s="22"/>
    </row>
    <row r="125" spans="1:14" ht="31.5" customHeight="1" x14ac:dyDescent="0.35">
      <c r="A125" s="40" t="str">
        <f>CONCATENATE("mldcat-ap-fair:","cell/",ROWS(A$11:A125))</f>
        <v>mldcat-ap-fair:cell/115</v>
      </c>
      <c r="B125" s="8" t="s">
        <v>24</v>
      </c>
      <c r="C125" s="38" t="s">
        <v>133</v>
      </c>
      <c r="D125" s="66" t="s">
        <v>640</v>
      </c>
      <c r="E125" s="38" t="s">
        <v>339</v>
      </c>
      <c r="F125" s="52" t="s">
        <v>470</v>
      </c>
      <c r="G125" s="56" t="s">
        <v>841</v>
      </c>
      <c r="H125" s="56" t="s">
        <v>513</v>
      </c>
      <c r="I125" s="36" t="s">
        <v>55</v>
      </c>
      <c r="J125" s="54">
        <v>1</v>
      </c>
      <c r="K125" s="24" t="s">
        <v>73</v>
      </c>
      <c r="L125" s="24"/>
      <c r="M125" s="37" t="s">
        <v>510</v>
      </c>
      <c r="N125" s="22"/>
    </row>
    <row r="126" spans="1:14" ht="15.75" customHeight="1" x14ac:dyDescent="0.35">
      <c r="A126" s="33" t="str">
        <f>CONCATENATE("mldcat-ap-fair:","cell/",ROWS(A$11:A126))</f>
        <v>mldcat-ap-fair:cell/116</v>
      </c>
      <c r="B126" s="8" t="s">
        <v>24</v>
      </c>
      <c r="C126" s="38" t="s">
        <v>134</v>
      </c>
      <c r="D126" s="66" t="s">
        <v>641</v>
      </c>
      <c r="E126" s="38" t="s">
        <v>340</v>
      </c>
      <c r="F126" s="53"/>
      <c r="G126" s="56"/>
      <c r="H126" s="53"/>
      <c r="I126" s="57"/>
      <c r="J126" s="24"/>
      <c r="K126" s="24"/>
      <c r="L126" s="24"/>
      <c r="M126" s="22"/>
      <c r="N126" s="22"/>
    </row>
    <row r="127" spans="1:14" ht="15.75" customHeight="1" x14ac:dyDescent="0.35">
      <c r="A127" s="33" t="str">
        <f>CONCATENATE("mldcat-ap-fair:","cell/",ROWS(A$11:A127))</f>
        <v>mldcat-ap-fair:cell/117</v>
      </c>
      <c r="B127" s="8" t="s">
        <v>24</v>
      </c>
      <c r="C127" s="38" t="s">
        <v>135</v>
      </c>
      <c r="D127" s="66" t="s">
        <v>642</v>
      </c>
      <c r="E127" s="38" t="s">
        <v>341</v>
      </c>
      <c r="F127" s="53"/>
      <c r="G127" s="56"/>
      <c r="H127" s="53"/>
      <c r="I127" s="57"/>
      <c r="J127" s="24"/>
      <c r="K127" s="24"/>
      <c r="L127" s="24"/>
      <c r="M127" s="22"/>
      <c r="N127" s="22"/>
    </row>
    <row r="128" spans="1:14" ht="15.75" customHeight="1" x14ac:dyDescent="0.35">
      <c r="A128" s="33" t="str">
        <f>CONCATENATE("mldcat-ap-fair:","cell/",ROWS(A$11:A128))</f>
        <v>mldcat-ap-fair:cell/118</v>
      </c>
      <c r="B128" s="8" t="s">
        <v>24</v>
      </c>
      <c r="C128" s="38" t="s">
        <v>136</v>
      </c>
      <c r="D128" s="66" t="s">
        <v>643</v>
      </c>
      <c r="E128" s="38" t="s">
        <v>342</v>
      </c>
      <c r="F128" s="53"/>
      <c r="G128" s="56"/>
      <c r="H128" s="53"/>
      <c r="I128" s="57"/>
      <c r="J128" s="24"/>
      <c r="K128" s="24"/>
      <c r="L128" s="24"/>
      <c r="M128" s="22"/>
      <c r="N128" s="22"/>
    </row>
    <row r="129" spans="1:14" ht="15.75" customHeight="1" x14ac:dyDescent="0.35">
      <c r="A129" s="33" t="str">
        <f>CONCATENATE("mldcat-ap-fair:","cell/",ROWS(A$11:A129))</f>
        <v>mldcat-ap-fair:cell/119</v>
      </c>
      <c r="B129" s="8" t="s">
        <v>24</v>
      </c>
      <c r="C129" s="38" t="s">
        <v>61</v>
      </c>
      <c r="D129" s="66" t="s">
        <v>644</v>
      </c>
      <c r="E129" s="38" t="s">
        <v>260</v>
      </c>
      <c r="F129" s="53"/>
      <c r="G129" s="56"/>
      <c r="H129" s="53"/>
      <c r="I129" s="57"/>
      <c r="J129" s="24"/>
      <c r="K129" s="24"/>
      <c r="L129" s="24"/>
      <c r="M129" s="22"/>
      <c r="N129" s="22"/>
    </row>
    <row r="130" spans="1:14" ht="15.75" customHeight="1" x14ac:dyDescent="0.35">
      <c r="A130" s="33" t="str">
        <f>CONCATENATE("mldcat-ap-fair:","cell/",ROWS(A$11:A130))</f>
        <v>mldcat-ap-fair:cell/120</v>
      </c>
      <c r="B130" s="8" t="s">
        <v>24</v>
      </c>
      <c r="C130" s="38" t="s">
        <v>63</v>
      </c>
      <c r="D130" s="66" t="s">
        <v>645</v>
      </c>
      <c r="E130" s="38" t="s">
        <v>262</v>
      </c>
      <c r="F130" s="53"/>
      <c r="G130" s="56"/>
      <c r="H130" s="53"/>
      <c r="I130" s="57"/>
      <c r="J130" s="24"/>
      <c r="K130" s="24"/>
      <c r="L130" s="24"/>
      <c r="M130" s="22"/>
      <c r="N130" s="22"/>
    </row>
    <row r="131" spans="1:14" ht="15.75" customHeight="1" x14ac:dyDescent="0.35">
      <c r="A131" s="33" t="str">
        <f>CONCATENATE("mldcat-ap-fair:","cell/",ROWS(A$11:A131))</f>
        <v>mldcat-ap-fair:cell/121</v>
      </c>
      <c r="B131" s="8" t="s">
        <v>24</v>
      </c>
      <c r="C131" s="38" t="s">
        <v>71</v>
      </c>
      <c r="D131" s="66" t="s">
        <v>646</v>
      </c>
      <c r="E131" s="38" t="s">
        <v>266</v>
      </c>
      <c r="F131" s="53"/>
      <c r="G131" s="56"/>
      <c r="H131" s="53"/>
      <c r="I131" s="57"/>
      <c r="J131" s="24"/>
      <c r="K131" s="24"/>
      <c r="L131" s="24"/>
      <c r="M131" s="22"/>
      <c r="N131" s="22"/>
    </row>
    <row r="132" spans="1:14" ht="15.75" customHeight="1" x14ac:dyDescent="0.35">
      <c r="A132" s="33" t="str">
        <f>CONCATENATE("mldcat-ap-fair:","cell/",ROWS(A$11:A132))</f>
        <v>mldcat-ap-fair:cell/122</v>
      </c>
      <c r="B132" s="8" t="s">
        <v>24</v>
      </c>
      <c r="C132" s="38" t="s">
        <v>84</v>
      </c>
      <c r="D132" s="66" t="s">
        <v>647</v>
      </c>
      <c r="E132" s="38" t="s">
        <v>322</v>
      </c>
      <c r="F132" s="53"/>
      <c r="G132" s="56"/>
      <c r="H132" s="53"/>
      <c r="I132" s="57"/>
      <c r="J132" s="24"/>
      <c r="K132" s="24"/>
      <c r="L132" s="24"/>
      <c r="M132" s="22"/>
      <c r="N132" s="22"/>
    </row>
    <row r="133" spans="1:14" ht="15.75" customHeight="1" x14ac:dyDescent="0.35">
      <c r="A133" s="33" t="str">
        <f>CONCATENATE("mldcat-ap-fair:","cell/",ROWS(A$11:A133))</f>
        <v>mldcat-ap-fair:cell/123</v>
      </c>
      <c r="B133" s="8" t="s">
        <v>24</v>
      </c>
      <c r="C133" s="38" t="s">
        <v>137</v>
      </c>
      <c r="D133" s="66" t="s">
        <v>648</v>
      </c>
      <c r="E133" s="38" t="s">
        <v>343</v>
      </c>
      <c r="F133" s="53"/>
      <c r="G133" s="56"/>
      <c r="H133" s="53"/>
      <c r="I133" s="57"/>
      <c r="J133" s="24"/>
      <c r="K133" s="24"/>
      <c r="L133" s="24"/>
      <c r="M133" s="22"/>
      <c r="N133" s="22"/>
    </row>
    <row r="134" spans="1:14" ht="15.75" customHeight="1" x14ac:dyDescent="0.35">
      <c r="A134" s="33" t="str">
        <f>CONCATENATE("mldcat-ap-fair:","cell/",ROWS(A$11:A134))</f>
        <v>mldcat-ap-fair:cell/124</v>
      </c>
      <c r="B134" s="8" t="s">
        <v>24</v>
      </c>
      <c r="C134" s="38" t="s">
        <v>138</v>
      </c>
      <c r="D134" s="66" t="s">
        <v>649</v>
      </c>
      <c r="E134" s="38" t="s">
        <v>344</v>
      </c>
      <c r="F134" s="53"/>
      <c r="G134" s="56"/>
      <c r="H134" s="53"/>
      <c r="I134" s="57"/>
      <c r="J134" s="24"/>
      <c r="K134" s="24"/>
      <c r="L134" s="24"/>
      <c r="M134" s="22"/>
      <c r="N134" s="22"/>
    </row>
    <row r="135" spans="1:14" ht="15.75" customHeight="1" x14ac:dyDescent="0.35">
      <c r="A135" s="33" t="str">
        <f>CONCATENATE("mldcat-ap-fair:","cell/",ROWS(A$11:A135))</f>
        <v>mldcat-ap-fair:cell/125</v>
      </c>
      <c r="B135" s="8" t="s">
        <v>24</v>
      </c>
      <c r="C135" s="38" t="s">
        <v>139</v>
      </c>
      <c r="D135" s="66" t="s">
        <v>650</v>
      </c>
      <c r="E135" s="38" t="s">
        <v>345</v>
      </c>
      <c r="F135" s="53"/>
      <c r="G135" s="56"/>
      <c r="H135" s="53"/>
      <c r="I135" s="57"/>
      <c r="J135" s="24"/>
      <c r="K135" s="24"/>
      <c r="L135" s="24"/>
      <c r="M135" s="22"/>
      <c r="N135" s="22"/>
    </row>
    <row r="136" spans="1:14" ht="15.75" customHeight="1" x14ac:dyDescent="0.35">
      <c r="A136" s="33" t="str">
        <f>CONCATENATE("mldcat-ap-fair:","cell/",ROWS(A$11:A136))</f>
        <v>mldcat-ap-fair:cell/126</v>
      </c>
      <c r="B136" s="8" t="s">
        <v>24</v>
      </c>
      <c r="C136" s="38" t="s">
        <v>140</v>
      </c>
      <c r="D136" s="66" t="s">
        <v>651</v>
      </c>
      <c r="E136" s="38" t="s">
        <v>346</v>
      </c>
      <c r="F136" s="53"/>
      <c r="G136" s="56"/>
      <c r="H136" s="53"/>
      <c r="I136" s="57"/>
      <c r="J136" s="24"/>
      <c r="K136" s="24"/>
      <c r="L136" s="24"/>
      <c r="M136" s="22"/>
      <c r="N136" s="22"/>
    </row>
    <row r="137" spans="1:14" ht="15.75" customHeight="1" x14ac:dyDescent="0.35">
      <c r="A137" s="33" t="str">
        <f>CONCATENATE("mldcat-ap-fair:","cell/",ROWS(A$11:A137))</f>
        <v>mldcat-ap-fair:cell/127</v>
      </c>
      <c r="B137" s="8" t="s">
        <v>24</v>
      </c>
      <c r="C137" s="38" t="s">
        <v>63</v>
      </c>
      <c r="D137" s="66" t="s">
        <v>652</v>
      </c>
      <c r="E137" s="38" t="s">
        <v>262</v>
      </c>
      <c r="F137" s="53"/>
      <c r="G137" s="56"/>
      <c r="H137" s="53"/>
      <c r="I137" s="57"/>
      <c r="J137" s="24"/>
      <c r="K137" s="24"/>
      <c r="L137" s="24"/>
      <c r="M137" s="22"/>
      <c r="N137" s="22"/>
    </row>
    <row r="138" spans="1:14" ht="15.75" customHeight="1" x14ac:dyDescent="0.35">
      <c r="A138" s="33" t="str">
        <f>CONCATENATE("mldcat-ap-fair:","cell/",ROWS(A$11:A138))</f>
        <v>mldcat-ap-fair:cell/128</v>
      </c>
      <c r="B138" s="8" t="s">
        <v>24</v>
      </c>
      <c r="C138" s="38" t="s">
        <v>114</v>
      </c>
      <c r="D138" s="66" t="s">
        <v>653</v>
      </c>
      <c r="E138" s="38" t="s">
        <v>318</v>
      </c>
      <c r="F138" s="53"/>
      <c r="G138" s="56"/>
      <c r="H138" s="53"/>
      <c r="I138" s="57"/>
      <c r="J138" s="24"/>
      <c r="K138" s="24"/>
      <c r="L138" s="24"/>
      <c r="M138" s="22"/>
      <c r="N138" s="22"/>
    </row>
    <row r="139" spans="1:14" ht="15.75" customHeight="1" x14ac:dyDescent="0.35">
      <c r="A139" s="33" t="str">
        <f>CONCATENATE("mldcat-ap-fair:","cell/",ROWS(A$11:A139))</f>
        <v>mldcat-ap-fair:cell/129</v>
      </c>
      <c r="B139" s="8" t="s">
        <v>24</v>
      </c>
      <c r="C139" s="38" t="s">
        <v>115</v>
      </c>
      <c r="D139" s="66" t="s">
        <v>654</v>
      </c>
      <c r="E139" s="38" t="s">
        <v>319</v>
      </c>
      <c r="F139" s="53"/>
      <c r="G139" s="56"/>
      <c r="H139" s="53"/>
      <c r="I139" s="57"/>
      <c r="J139" s="24"/>
      <c r="K139" s="24"/>
      <c r="L139" s="24"/>
      <c r="M139" s="22"/>
      <c r="N139" s="22"/>
    </row>
    <row r="140" spans="1:14" ht="15.75" customHeight="1" x14ac:dyDescent="0.35">
      <c r="A140" s="33" t="str">
        <f>CONCATENATE("mldcat-ap-fair:","cell/",ROWS(A$11:A140))</f>
        <v>mldcat-ap-fair:cell/130</v>
      </c>
      <c r="B140" s="8" t="s">
        <v>24</v>
      </c>
      <c r="C140" s="38" t="s">
        <v>141</v>
      </c>
      <c r="D140" s="66" t="s">
        <v>655</v>
      </c>
      <c r="E140" s="38" t="s">
        <v>347</v>
      </c>
      <c r="F140" s="53"/>
      <c r="G140" s="56"/>
      <c r="H140" s="53"/>
      <c r="I140" s="57"/>
      <c r="J140" s="24"/>
      <c r="K140" s="24"/>
      <c r="L140" s="24"/>
      <c r="M140" s="22"/>
      <c r="N140" s="22"/>
    </row>
    <row r="141" spans="1:14" ht="15.75" customHeight="1" x14ac:dyDescent="0.35">
      <c r="A141" s="33" t="str">
        <f>CONCATENATE("mldcat-ap-fair:","cell/",ROWS(A$11:A141))</f>
        <v>mldcat-ap-fair:cell/131</v>
      </c>
      <c r="B141" s="8" t="s">
        <v>24</v>
      </c>
      <c r="C141" s="38" t="s">
        <v>142</v>
      </c>
      <c r="D141" s="66" t="s">
        <v>656</v>
      </c>
      <c r="E141" s="38" t="s">
        <v>348</v>
      </c>
      <c r="F141" s="53"/>
      <c r="G141" s="56"/>
      <c r="H141" s="53"/>
      <c r="I141" s="57"/>
      <c r="J141" s="24"/>
      <c r="K141" s="24"/>
      <c r="L141" s="24"/>
      <c r="M141" s="22"/>
      <c r="N141" s="22"/>
    </row>
    <row r="142" spans="1:14" ht="15.75" customHeight="1" x14ac:dyDescent="0.35">
      <c r="A142" s="33" t="str">
        <f>CONCATENATE("mldcat-ap-fair:","cell/",ROWS(A$11:A142))</f>
        <v>mldcat-ap-fair:cell/132</v>
      </c>
      <c r="B142" s="8" t="s">
        <v>24</v>
      </c>
      <c r="C142" s="38" t="s">
        <v>143</v>
      </c>
      <c r="D142" s="66" t="s">
        <v>657</v>
      </c>
      <c r="E142" s="38" t="s">
        <v>349</v>
      </c>
      <c r="F142" s="53"/>
      <c r="G142" s="56"/>
      <c r="H142" s="53"/>
      <c r="I142" s="57"/>
      <c r="J142" s="24"/>
      <c r="K142" s="24"/>
      <c r="L142" s="24"/>
      <c r="M142" s="22"/>
      <c r="N142" s="22"/>
    </row>
    <row r="143" spans="1:14" ht="15.75" customHeight="1" x14ac:dyDescent="0.35">
      <c r="A143" s="33" t="str">
        <f>CONCATENATE("mldcat-ap-fair:","cell/",ROWS(A$11:A143))</f>
        <v>mldcat-ap-fair:cell/133</v>
      </c>
      <c r="B143" s="8" t="s">
        <v>24</v>
      </c>
      <c r="C143" s="38" t="s">
        <v>144</v>
      </c>
      <c r="D143" s="66" t="s">
        <v>658</v>
      </c>
      <c r="E143" s="38" t="s">
        <v>350</v>
      </c>
      <c r="F143" s="53"/>
      <c r="G143" s="56"/>
      <c r="H143" s="53"/>
      <c r="I143" s="57"/>
      <c r="J143" s="24"/>
      <c r="K143" s="24"/>
      <c r="L143" s="24"/>
      <c r="M143" s="22"/>
      <c r="N143" s="22"/>
    </row>
    <row r="144" spans="1:14" ht="15.75" customHeight="1" x14ac:dyDescent="0.35">
      <c r="A144" s="33" t="str">
        <f>CONCATENATE("mldcat-ap-fair:","cell/",ROWS(A$11:A144))</f>
        <v>mldcat-ap-fair:cell/134</v>
      </c>
      <c r="B144" s="8" t="s">
        <v>24</v>
      </c>
      <c r="C144" s="38" t="s">
        <v>145</v>
      </c>
      <c r="D144" s="66" t="s">
        <v>659</v>
      </c>
      <c r="E144" s="38" t="s">
        <v>351</v>
      </c>
      <c r="F144" s="53"/>
      <c r="G144" s="56"/>
      <c r="H144" s="53"/>
      <c r="I144" s="57"/>
      <c r="J144" s="24"/>
      <c r="K144" s="24"/>
      <c r="L144" s="24"/>
      <c r="M144" s="22"/>
      <c r="N144" s="22"/>
    </row>
    <row r="145" spans="1:14" ht="15.75" customHeight="1" x14ac:dyDescent="0.35">
      <c r="A145" s="33" t="str">
        <f>CONCATENATE("mldcat-ap-fair:","cell/",ROWS(A$11:A145))</f>
        <v>mldcat-ap-fair:cell/135</v>
      </c>
      <c r="B145" s="8" t="s">
        <v>24</v>
      </c>
      <c r="C145" s="38" t="s">
        <v>71</v>
      </c>
      <c r="D145" s="66" t="s">
        <v>660</v>
      </c>
      <c r="E145" s="38" t="s">
        <v>266</v>
      </c>
      <c r="F145" s="53"/>
      <c r="G145" s="56"/>
      <c r="H145" s="53"/>
      <c r="I145" s="57"/>
      <c r="J145" s="24"/>
      <c r="K145" s="24"/>
      <c r="L145" s="24"/>
      <c r="M145" s="22"/>
      <c r="N145" s="22"/>
    </row>
    <row r="146" spans="1:14" ht="15.75" customHeight="1" x14ac:dyDescent="0.35">
      <c r="A146" s="33" t="str">
        <f>CONCATENATE("mldcat-ap-fair:","cell/",ROWS(A$11:A146))</f>
        <v>mldcat-ap-fair:cell/136</v>
      </c>
      <c r="B146" s="8" t="s">
        <v>24</v>
      </c>
      <c r="C146" s="38" t="s">
        <v>146</v>
      </c>
      <c r="D146" s="66" t="s">
        <v>661</v>
      </c>
      <c r="E146" s="38" t="s">
        <v>320</v>
      </c>
      <c r="F146" s="53"/>
      <c r="G146" s="56"/>
      <c r="H146" s="53"/>
      <c r="I146" s="57"/>
      <c r="J146" s="24"/>
      <c r="K146" s="24"/>
      <c r="L146" s="24"/>
      <c r="M146" s="22"/>
      <c r="N146" s="22"/>
    </row>
    <row r="147" spans="1:14" ht="15.75" customHeight="1" x14ac:dyDescent="0.35">
      <c r="A147" s="33" t="str">
        <f>CONCATENATE("mldcat-ap-fair:","cell/",ROWS(A$11:A147))</f>
        <v>mldcat-ap-fair:cell/137</v>
      </c>
      <c r="B147" s="8" t="s">
        <v>24</v>
      </c>
      <c r="C147" s="38" t="s">
        <v>147</v>
      </c>
      <c r="D147" s="66" t="s">
        <v>662</v>
      </c>
      <c r="E147" s="38" t="s">
        <v>352</v>
      </c>
      <c r="F147" s="53"/>
      <c r="G147" s="56"/>
      <c r="H147" s="53"/>
      <c r="I147" s="57"/>
      <c r="J147" s="24"/>
      <c r="K147" s="24"/>
      <c r="L147" s="24"/>
      <c r="M147" s="22"/>
      <c r="N147" s="22"/>
    </row>
    <row r="148" spans="1:14" ht="15.75" customHeight="1" x14ac:dyDescent="0.35">
      <c r="A148" s="33" t="str">
        <f>CONCATENATE("mldcat-ap-fair:","cell/",ROWS(A$11:A148))</f>
        <v>mldcat-ap-fair:cell/138</v>
      </c>
      <c r="B148" s="8" t="s">
        <v>24</v>
      </c>
      <c r="C148" s="38" t="s">
        <v>148</v>
      </c>
      <c r="D148" s="66" t="s">
        <v>663</v>
      </c>
      <c r="E148" s="38" t="s">
        <v>353</v>
      </c>
      <c r="F148" s="53"/>
      <c r="G148" s="56"/>
      <c r="H148" s="53"/>
      <c r="I148" s="57"/>
      <c r="J148" s="24"/>
      <c r="K148" s="24"/>
      <c r="L148" s="24"/>
      <c r="M148" s="22"/>
      <c r="N148" s="22"/>
    </row>
    <row r="149" spans="1:14" ht="15.75" customHeight="1" x14ac:dyDescent="0.35">
      <c r="A149" s="33" t="str">
        <f>CONCATENATE("mldcat-ap-fair:","cell/",ROWS(A$11:A149))</f>
        <v>mldcat-ap-fair:cell/139</v>
      </c>
      <c r="B149" s="8" t="s">
        <v>24</v>
      </c>
      <c r="C149" s="38" t="s">
        <v>61</v>
      </c>
      <c r="D149" s="66" t="s">
        <v>664</v>
      </c>
      <c r="E149" s="38" t="s">
        <v>260</v>
      </c>
      <c r="F149" s="53"/>
      <c r="G149" s="56"/>
      <c r="H149" s="53"/>
      <c r="I149" s="57"/>
      <c r="J149" s="24"/>
      <c r="K149" s="24"/>
      <c r="L149" s="24"/>
      <c r="M149" s="22"/>
      <c r="N149" s="22"/>
    </row>
    <row r="150" spans="1:14" ht="15.75" customHeight="1" x14ac:dyDescent="0.35">
      <c r="A150" s="33" t="str">
        <f>CONCATENATE("mldcat-ap-fair:","cell/",ROWS(A$11:A150))</f>
        <v>mldcat-ap-fair:cell/140</v>
      </c>
      <c r="B150" s="8" t="s">
        <v>24</v>
      </c>
      <c r="C150" s="38" t="s">
        <v>149</v>
      </c>
      <c r="D150" s="66" t="s">
        <v>665</v>
      </c>
      <c r="E150" s="38" t="s">
        <v>354</v>
      </c>
      <c r="F150" s="53"/>
      <c r="G150" s="56"/>
      <c r="H150" s="53"/>
      <c r="I150" s="57"/>
      <c r="J150" s="24"/>
      <c r="K150" s="24"/>
      <c r="L150" s="24"/>
      <c r="M150" s="22"/>
      <c r="N150" s="22"/>
    </row>
    <row r="151" spans="1:14" ht="15.75" customHeight="1" x14ac:dyDescent="0.35">
      <c r="A151" s="33" t="str">
        <f>CONCATENATE("mldcat-ap-fair:","cell/",ROWS(A$11:A151))</f>
        <v>mldcat-ap-fair:cell/141</v>
      </c>
      <c r="B151" s="8" t="s">
        <v>24</v>
      </c>
      <c r="C151" s="38" t="s">
        <v>71</v>
      </c>
      <c r="D151" s="66" t="s">
        <v>666</v>
      </c>
      <c r="E151" s="38" t="s">
        <v>266</v>
      </c>
      <c r="F151" s="53"/>
      <c r="G151" s="56"/>
      <c r="H151" s="53"/>
      <c r="I151" s="57"/>
      <c r="J151" s="24"/>
      <c r="K151" s="24"/>
      <c r="L151" s="24"/>
      <c r="M151" s="22"/>
      <c r="N151" s="22"/>
    </row>
    <row r="152" spans="1:14" ht="15.75" customHeight="1" x14ac:dyDescent="0.35">
      <c r="A152" s="33" t="str">
        <f>CONCATENATE("mldcat-ap-fair:","cell/",ROWS(A$11:A152))</f>
        <v>mldcat-ap-fair:cell/142</v>
      </c>
      <c r="B152" s="8" t="s">
        <v>24</v>
      </c>
      <c r="C152" s="38" t="s">
        <v>146</v>
      </c>
      <c r="D152" s="66" t="s">
        <v>667</v>
      </c>
      <c r="E152" s="38" t="s">
        <v>320</v>
      </c>
      <c r="F152" s="53"/>
      <c r="G152" s="56"/>
      <c r="H152" s="53"/>
      <c r="I152" s="57"/>
      <c r="J152" s="24"/>
      <c r="K152" s="24"/>
      <c r="L152" s="24"/>
      <c r="M152" s="22"/>
      <c r="N152" s="22"/>
    </row>
    <row r="153" spans="1:14" ht="15.75" customHeight="1" x14ac:dyDescent="0.35">
      <c r="A153" s="33" t="str">
        <f>CONCATENATE("mldcat-ap-fair:","cell/",ROWS(A$11:A153))</f>
        <v>mldcat-ap-fair:cell/143</v>
      </c>
      <c r="B153" s="8" t="s">
        <v>24</v>
      </c>
      <c r="C153" s="38" t="s">
        <v>150</v>
      </c>
      <c r="D153" s="66" t="s">
        <v>668</v>
      </c>
      <c r="E153" s="38" t="s">
        <v>355</v>
      </c>
      <c r="F153" s="53"/>
      <c r="G153" s="56"/>
      <c r="H153" s="53"/>
      <c r="I153" s="57"/>
      <c r="J153" s="24"/>
      <c r="K153" s="24"/>
      <c r="L153" s="24"/>
      <c r="M153" s="22"/>
      <c r="N153" s="22"/>
    </row>
    <row r="154" spans="1:14" ht="15.75" customHeight="1" x14ac:dyDescent="0.35">
      <c r="A154" s="33" t="str">
        <f>CONCATENATE("mldcat-ap-fair:","cell/",ROWS(A$11:A154))</f>
        <v>mldcat-ap-fair:cell/144</v>
      </c>
      <c r="B154" s="8" t="s">
        <v>24</v>
      </c>
      <c r="C154" s="38" t="s">
        <v>151</v>
      </c>
      <c r="D154" s="66" t="s">
        <v>669</v>
      </c>
      <c r="E154" s="38" t="s">
        <v>356</v>
      </c>
      <c r="F154" s="53"/>
      <c r="G154" s="56"/>
      <c r="H154" s="53"/>
      <c r="I154" s="57"/>
      <c r="J154" s="24"/>
      <c r="K154" s="24"/>
      <c r="L154" s="24"/>
      <c r="M154" s="22"/>
      <c r="N154" s="22"/>
    </row>
    <row r="155" spans="1:14" ht="15.75" customHeight="1" x14ac:dyDescent="0.35">
      <c r="A155" s="33" t="str">
        <f>CONCATENATE("mldcat-ap-fair:","cell/",ROWS(A$11:A155))</f>
        <v>mldcat-ap-fair:cell/145</v>
      </c>
      <c r="B155" s="8" t="s">
        <v>24</v>
      </c>
      <c r="C155" s="38" t="s">
        <v>152</v>
      </c>
      <c r="D155" s="66" t="s">
        <v>670</v>
      </c>
      <c r="E155" s="38" t="s">
        <v>357</v>
      </c>
      <c r="F155" s="53"/>
      <c r="G155" s="56"/>
      <c r="H155" s="53"/>
      <c r="I155" s="57"/>
      <c r="J155" s="24"/>
      <c r="K155" s="24"/>
      <c r="L155" s="24"/>
      <c r="M155" s="22"/>
      <c r="N155" s="22"/>
    </row>
    <row r="156" spans="1:14" ht="15.75" customHeight="1" x14ac:dyDescent="0.35">
      <c r="A156" s="33" t="str">
        <f>CONCATENATE("mldcat-ap-fair:","cell/",ROWS(A$11:A156))</f>
        <v>mldcat-ap-fair:cell/146</v>
      </c>
      <c r="B156" s="8" t="s">
        <v>24</v>
      </c>
      <c r="C156" s="38" t="s">
        <v>61</v>
      </c>
      <c r="D156" s="66" t="s">
        <v>671</v>
      </c>
      <c r="E156" s="38" t="s">
        <v>260</v>
      </c>
      <c r="F156" s="53"/>
      <c r="G156" s="56"/>
      <c r="H156" s="53"/>
      <c r="I156" s="57"/>
      <c r="J156" s="24"/>
      <c r="K156" s="24"/>
      <c r="L156" s="24"/>
      <c r="M156" s="22"/>
      <c r="N156" s="22"/>
    </row>
    <row r="157" spans="1:14" ht="15.75" customHeight="1" x14ac:dyDescent="0.35">
      <c r="A157" s="33" t="str">
        <f>CONCATENATE("mldcat-ap-fair:","cell/",ROWS(A$11:A157))</f>
        <v>mldcat-ap-fair:cell/147</v>
      </c>
      <c r="B157" s="8" t="s">
        <v>24</v>
      </c>
      <c r="C157" s="38" t="s">
        <v>71</v>
      </c>
      <c r="D157" s="66" t="s">
        <v>672</v>
      </c>
      <c r="E157" s="38" t="s">
        <v>266</v>
      </c>
      <c r="F157" s="53"/>
      <c r="G157" s="56"/>
      <c r="H157" s="53"/>
      <c r="I157" s="57"/>
      <c r="J157" s="24"/>
      <c r="K157" s="24"/>
      <c r="L157" s="24"/>
      <c r="M157" s="22"/>
      <c r="N157" s="22"/>
    </row>
    <row r="158" spans="1:14" ht="15.75" customHeight="1" x14ac:dyDescent="0.35">
      <c r="A158" s="33" t="str">
        <f>CONCATENATE("mldcat-ap-fair:","cell/",ROWS(A$11:A158))</f>
        <v>mldcat-ap-fair:cell/148</v>
      </c>
      <c r="B158" s="8" t="s">
        <v>24</v>
      </c>
      <c r="C158" s="38" t="s">
        <v>84</v>
      </c>
      <c r="D158" s="66" t="s">
        <v>673</v>
      </c>
      <c r="E158" s="38" t="s">
        <v>322</v>
      </c>
      <c r="F158" s="53"/>
      <c r="G158" s="56"/>
      <c r="H158" s="53"/>
      <c r="I158" s="57"/>
      <c r="J158" s="24"/>
      <c r="K158" s="24"/>
      <c r="L158" s="24"/>
      <c r="M158" s="22"/>
      <c r="N158" s="22"/>
    </row>
    <row r="159" spans="1:14" ht="15.75" customHeight="1" x14ac:dyDescent="0.35">
      <c r="A159" s="33" t="str">
        <f>CONCATENATE("mldcat-ap-fair:","cell/",ROWS(A$11:A159))</f>
        <v>mldcat-ap-fair:cell/149</v>
      </c>
      <c r="B159" s="8" t="s">
        <v>24</v>
      </c>
      <c r="C159" s="38" t="s">
        <v>153</v>
      </c>
      <c r="D159" s="66" t="s">
        <v>674</v>
      </c>
      <c r="E159" s="38" t="s">
        <v>358</v>
      </c>
      <c r="F159" s="53"/>
      <c r="G159" s="56"/>
      <c r="H159" s="53"/>
      <c r="I159" s="57"/>
      <c r="J159" s="24"/>
      <c r="K159" s="24"/>
      <c r="L159" s="24"/>
      <c r="M159" s="22"/>
      <c r="N159" s="22"/>
    </row>
    <row r="160" spans="1:14" ht="15.75" customHeight="1" x14ac:dyDescent="0.35">
      <c r="A160" s="33" t="str">
        <f>CONCATENATE("mldcat-ap-fair:","cell/",ROWS(A$11:A160))</f>
        <v>mldcat-ap-fair:cell/150</v>
      </c>
      <c r="B160" s="8" t="s">
        <v>24</v>
      </c>
      <c r="C160" s="38" t="s">
        <v>79</v>
      </c>
      <c r="D160" s="66" t="s">
        <v>675</v>
      </c>
      <c r="E160" s="38" t="s">
        <v>256</v>
      </c>
      <c r="F160" s="53"/>
      <c r="G160" s="56"/>
      <c r="H160" s="53"/>
      <c r="I160" s="57"/>
      <c r="J160" s="24"/>
      <c r="K160" s="24"/>
      <c r="L160" s="24"/>
      <c r="M160" s="22"/>
      <c r="N160" s="22"/>
    </row>
    <row r="161" spans="1:14" ht="15.75" customHeight="1" x14ac:dyDescent="0.35">
      <c r="A161" s="33" t="str">
        <f>CONCATENATE("mldcat-ap-fair:","cell/",ROWS(A$11:A161))</f>
        <v>mldcat-ap-fair:cell/151</v>
      </c>
      <c r="B161" s="8" t="s">
        <v>24</v>
      </c>
      <c r="C161" s="38" t="s">
        <v>63</v>
      </c>
      <c r="D161" s="66" t="s">
        <v>676</v>
      </c>
      <c r="E161" s="38" t="s">
        <v>359</v>
      </c>
      <c r="F161" s="53"/>
      <c r="G161" s="56"/>
      <c r="H161" s="53"/>
      <c r="I161" s="57"/>
      <c r="J161" s="24"/>
      <c r="K161" s="24"/>
      <c r="L161" s="24"/>
      <c r="M161" s="22"/>
      <c r="N161" s="22"/>
    </row>
    <row r="162" spans="1:14" ht="15.75" customHeight="1" x14ac:dyDescent="0.35">
      <c r="A162" s="33" t="str">
        <f>CONCATENATE("mldcat-ap-fair:","cell/",ROWS(A$11:A162))</f>
        <v>mldcat-ap-fair:cell/152</v>
      </c>
      <c r="B162" s="8" t="s">
        <v>24</v>
      </c>
      <c r="C162" s="38" t="s">
        <v>71</v>
      </c>
      <c r="D162" s="66" t="s">
        <v>677</v>
      </c>
      <c r="E162" s="38" t="s">
        <v>266</v>
      </c>
      <c r="F162" s="53"/>
      <c r="G162" s="56"/>
      <c r="H162" s="53"/>
      <c r="I162" s="57"/>
      <c r="J162" s="24"/>
      <c r="K162" s="24"/>
      <c r="L162" s="24"/>
      <c r="M162" s="22"/>
      <c r="N162" s="22"/>
    </row>
    <row r="163" spans="1:14" ht="15.75" customHeight="1" x14ac:dyDescent="0.35">
      <c r="A163" s="33" t="str">
        <f>CONCATENATE("mldcat-ap-fair:","cell/",ROWS(A$11:A163))</f>
        <v>mldcat-ap-fair:cell/153</v>
      </c>
      <c r="B163" s="8" t="s">
        <v>24</v>
      </c>
      <c r="C163" s="38" t="s">
        <v>154</v>
      </c>
      <c r="D163" s="66" t="s">
        <v>678</v>
      </c>
      <c r="E163" s="38" t="s">
        <v>360</v>
      </c>
      <c r="F163" s="53"/>
      <c r="G163" s="56"/>
      <c r="H163" s="53"/>
      <c r="I163" s="57"/>
      <c r="J163" s="24"/>
      <c r="K163" s="24"/>
      <c r="L163" s="24"/>
      <c r="M163" s="22"/>
      <c r="N163" s="22"/>
    </row>
    <row r="164" spans="1:14" ht="15.75" customHeight="1" x14ac:dyDescent="0.35">
      <c r="A164" s="33" t="str">
        <f>CONCATENATE("mldcat-ap-fair:","cell/",ROWS(A$11:A164))</f>
        <v>mldcat-ap-fair:cell/154</v>
      </c>
      <c r="B164" s="8" t="s">
        <v>24</v>
      </c>
      <c r="C164" s="38" t="s">
        <v>77</v>
      </c>
      <c r="D164" s="66" t="s">
        <v>679</v>
      </c>
      <c r="E164" s="38" t="s">
        <v>308</v>
      </c>
      <c r="F164" s="53"/>
      <c r="G164" s="56"/>
      <c r="H164" s="53"/>
      <c r="I164" s="57"/>
      <c r="J164" s="24"/>
      <c r="K164" s="24"/>
      <c r="L164" s="24"/>
      <c r="M164" s="22"/>
      <c r="N164" s="22"/>
    </row>
    <row r="165" spans="1:14" ht="15.75" customHeight="1" x14ac:dyDescent="0.35">
      <c r="A165" s="33" t="str">
        <f>CONCATENATE("mldcat-ap-fair:","cell/",ROWS(A$11:A165))</f>
        <v>mldcat-ap-fair:cell/155</v>
      </c>
      <c r="B165" s="8" t="s">
        <v>24</v>
      </c>
      <c r="C165" s="38" t="s">
        <v>155</v>
      </c>
      <c r="D165" s="66" t="s">
        <v>680</v>
      </c>
      <c r="E165" s="38" t="s">
        <v>361</v>
      </c>
      <c r="F165" s="53"/>
      <c r="G165" s="56"/>
      <c r="H165" s="53"/>
      <c r="I165" s="57"/>
      <c r="J165" s="24"/>
      <c r="K165" s="24"/>
      <c r="L165" s="24"/>
      <c r="M165" s="22"/>
      <c r="N165" s="22"/>
    </row>
    <row r="166" spans="1:14" ht="15.75" customHeight="1" x14ac:dyDescent="0.35">
      <c r="A166" s="33" t="str">
        <f>CONCATENATE("mldcat-ap-fair:","cell/",ROWS(A$11:A166))</f>
        <v>mldcat-ap-fair:cell/156</v>
      </c>
      <c r="B166" s="8" t="s">
        <v>24</v>
      </c>
      <c r="C166" s="38" t="s">
        <v>156</v>
      </c>
      <c r="D166" s="66" t="s">
        <v>681</v>
      </c>
      <c r="E166" s="38" t="s">
        <v>362</v>
      </c>
      <c r="F166" s="53"/>
      <c r="G166" s="56"/>
      <c r="H166" s="53"/>
      <c r="I166" s="57"/>
      <c r="J166" s="24"/>
      <c r="K166" s="24"/>
      <c r="L166" s="24"/>
      <c r="M166" s="22"/>
      <c r="N166" s="22"/>
    </row>
    <row r="167" spans="1:14" ht="15.75" customHeight="1" x14ac:dyDescent="0.35">
      <c r="A167" s="33" t="str">
        <f>CONCATENATE("mldcat-ap-fair:","cell/",ROWS(A$11:A167))</f>
        <v>mldcat-ap-fair:cell/157</v>
      </c>
      <c r="B167" s="8" t="s">
        <v>24</v>
      </c>
      <c r="C167" s="38" t="s">
        <v>157</v>
      </c>
      <c r="D167" s="66" t="s">
        <v>682</v>
      </c>
      <c r="E167" s="38" t="s">
        <v>363</v>
      </c>
      <c r="F167" s="53"/>
      <c r="G167" s="56"/>
      <c r="H167" s="53"/>
      <c r="I167" s="57"/>
      <c r="J167" s="24"/>
      <c r="K167" s="24"/>
      <c r="L167" s="24"/>
      <c r="M167" s="22"/>
      <c r="N167" s="22"/>
    </row>
    <row r="168" spans="1:14" ht="15.75" customHeight="1" x14ac:dyDescent="0.35">
      <c r="A168" s="33" t="str">
        <f>CONCATENATE("mldcat-ap-fair:","cell/",ROWS(A$11:A168))</f>
        <v>mldcat-ap-fair:cell/158</v>
      </c>
      <c r="B168" s="8" t="s">
        <v>24</v>
      </c>
      <c r="C168" s="38" t="s">
        <v>61</v>
      </c>
      <c r="D168" s="66" t="s">
        <v>683</v>
      </c>
      <c r="E168" s="38" t="s">
        <v>260</v>
      </c>
      <c r="F168" s="53"/>
      <c r="G168" s="56"/>
      <c r="H168" s="53"/>
      <c r="I168" s="57"/>
      <c r="J168" s="24"/>
      <c r="K168" s="24"/>
      <c r="L168" s="24"/>
      <c r="M168" s="22"/>
      <c r="N168" s="22"/>
    </row>
    <row r="169" spans="1:14" ht="15.75" customHeight="1" x14ac:dyDescent="0.35">
      <c r="A169" s="33" t="str">
        <f>CONCATENATE("mldcat-ap-fair:","cell/",ROWS(A$11:A169))</f>
        <v>mldcat-ap-fair:cell/159</v>
      </c>
      <c r="B169" s="8" t="s">
        <v>24</v>
      </c>
      <c r="C169" s="38" t="s">
        <v>158</v>
      </c>
      <c r="D169" s="66" t="s">
        <v>684</v>
      </c>
      <c r="E169" s="38" t="s">
        <v>364</v>
      </c>
      <c r="F169" s="53"/>
      <c r="G169" s="56"/>
      <c r="H169" s="53"/>
      <c r="I169" s="57"/>
      <c r="J169" s="24"/>
      <c r="K169" s="24"/>
      <c r="L169" s="24"/>
      <c r="M169" s="22"/>
      <c r="N169" s="22"/>
    </row>
    <row r="170" spans="1:14" ht="15.75" customHeight="1" x14ac:dyDescent="0.35">
      <c r="A170" s="33" t="str">
        <f>CONCATENATE("mldcat-ap-fair:","cell/",ROWS(A$11:A170))</f>
        <v>mldcat-ap-fair:cell/160</v>
      </c>
      <c r="B170" s="8" t="s">
        <v>24</v>
      </c>
      <c r="C170" s="38" t="s">
        <v>63</v>
      </c>
      <c r="D170" s="66" t="s">
        <v>685</v>
      </c>
      <c r="E170" s="38" t="s">
        <v>262</v>
      </c>
      <c r="F170" s="53"/>
      <c r="G170" s="56"/>
      <c r="H170" s="53"/>
      <c r="I170" s="57"/>
      <c r="J170" s="24"/>
      <c r="K170" s="24"/>
      <c r="L170" s="24"/>
      <c r="M170" s="22"/>
      <c r="N170" s="22"/>
    </row>
    <row r="171" spans="1:14" ht="15.75" customHeight="1" x14ac:dyDescent="0.35">
      <c r="A171" s="33" t="str">
        <f>CONCATENATE("mldcat-ap-fair:","cell/",ROWS(A$11:A171))</f>
        <v>mldcat-ap-fair:cell/161</v>
      </c>
      <c r="B171" s="8" t="s">
        <v>24</v>
      </c>
      <c r="C171" s="38" t="s">
        <v>67</v>
      </c>
      <c r="D171" s="66" t="s">
        <v>686</v>
      </c>
      <c r="E171" s="38" t="s">
        <v>263</v>
      </c>
      <c r="F171" s="53"/>
      <c r="G171" s="56"/>
      <c r="H171" s="53"/>
      <c r="I171" s="57"/>
      <c r="J171" s="24"/>
      <c r="K171" s="24"/>
      <c r="L171" s="24"/>
      <c r="M171" s="22"/>
      <c r="N171" s="22"/>
    </row>
    <row r="172" spans="1:14" ht="15.75" customHeight="1" x14ac:dyDescent="0.35">
      <c r="A172" s="33" t="str">
        <f>CONCATENATE("mldcat-ap-fair:","cell/",ROWS(A$11:A172))</f>
        <v>mldcat-ap-fair:cell/162</v>
      </c>
      <c r="B172" s="8" t="s">
        <v>24</v>
      </c>
      <c r="C172" s="38" t="s">
        <v>70</v>
      </c>
      <c r="D172" s="66" t="s">
        <v>687</v>
      </c>
      <c r="E172" s="38" t="s">
        <v>284</v>
      </c>
      <c r="F172" s="53"/>
      <c r="G172" s="56"/>
      <c r="H172" s="53"/>
      <c r="I172" s="57"/>
      <c r="J172" s="24"/>
      <c r="K172" s="24"/>
      <c r="L172" s="24"/>
      <c r="M172" s="22"/>
      <c r="N172" s="22"/>
    </row>
    <row r="173" spans="1:14" ht="15.75" customHeight="1" x14ac:dyDescent="0.35">
      <c r="A173" s="33" t="str">
        <f>CONCATENATE("mldcat-ap-fair:","cell/",ROWS(A$11:A173))</f>
        <v>mldcat-ap-fair:cell/163</v>
      </c>
      <c r="B173" s="8" t="s">
        <v>24</v>
      </c>
      <c r="C173" s="38" t="s">
        <v>71</v>
      </c>
      <c r="D173" s="66" t="s">
        <v>688</v>
      </c>
      <c r="E173" s="38" t="s">
        <v>266</v>
      </c>
      <c r="F173" s="53"/>
      <c r="G173" s="56"/>
      <c r="H173" s="53"/>
      <c r="I173" s="57"/>
      <c r="J173" s="24"/>
      <c r="K173" s="24"/>
      <c r="L173" s="24"/>
      <c r="M173" s="22"/>
      <c r="N173" s="22"/>
    </row>
    <row r="174" spans="1:14" ht="15.75" customHeight="1" x14ac:dyDescent="0.35">
      <c r="A174" s="33" t="str">
        <f>CONCATENATE("mldcat-ap-fair:","cell/",ROWS(A$11:A174))</f>
        <v>mldcat-ap-fair:cell/164</v>
      </c>
      <c r="B174" s="8" t="s">
        <v>24</v>
      </c>
      <c r="C174" s="38" t="s">
        <v>159</v>
      </c>
      <c r="D174" s="66" t="s">
        <v>689</v>
      </c>
      <c r="E174" s="38" t="s">
        <v>365</v>
      </c>
      <c r="F174" s="53"/>
      <c r="G174" s="56"/>
      <c r="H174" s="53"/>
      <c r="I174" s="57"/>
      <c r="J174" s="24"/>
      <c r="K174" s="24"/>
      <c r="L174" s="24"/>
      <c r="M174" s="22"/>
      <c r="N174" s="22"/>
    </row>
    <row r="175" spans="1:14" ht="15.75" customHeight="1" x14ac:dyDescent="0.35">
      <c r="A175" s="33" t="str">
        <f>CONCATENATE("mldcat-ap-fair:","cell/",ROWS(A$11:A175))</f>
        <v>mldcat-ap-fair:cell/165</v>
      </c>
      <c r="B175" s="8" t="s">
        <v>24</v>
      </c>
      <c r="C175" s="38" t="s">
        <v>160</v>
      </c>
      <c r="D175" s="66" t="s">
        <v>690</v>
      </c>
      <c r="E175" s="38" t="s">
        <v>366</v>
      </c>
      <c r="F175" s="53"/>
      <c r="G175" s="56"/>
      <c r="H175" s="53"/>
      <c r="I175" s="57"/>
      <c r="J175" s="24"/>
      <c r="K175" s="24"/>
      <c r="L175" s="24"/>
      <c r="M175" s="22"/>
      <c r="N175" s="22"/>
    </row>
    <row r="176" spans="1:14" ht="15.75" customHeight="1" x14ac:dyDescent="0.35">
      <c r="A176" s="33" t="str">
        <f>CONCATENATE("mldcat-ap-fair:","cell/",ROWS(A$11:A176))</f>
        <v>mldcat-ap-fair:cell/166</v>
      </c>
      <c r="B176" s="8" t="s">
        <v>24</v>
      </c>
      <c r="C176" s="38" t="s">
        <v>161</v>
      </c>
      <c r="D176" s="66" t="s">
        <v>691</v>
      </c>
      <c r="E176" s="38" t="s">
        <v>367</v>
      </c>
      <c r="F176" s="53"/>
      <c r="G176" s="56"/>
      <c r="H176" s="53"/>
      <c r="I176" s="57"/>
      <c r="J176" s="24"/>
      <c r="K176" s="24"/>
      <c r="L176" s="24"/>
      <c r="M176" s="22"/>
      <c r="N176" s="22"/>
    </row>
    <row r="177" spans="1:14" ht="15.75" customHeight="1" x14ac:dyDescent="0.35">
      <c r="A177" s="33" t="str">
        <f>CONCATENATE("mldcat-ap-fair:","cell/",ROWS(A$11:A177))</f>
        <v>mldcat-ap-fair:cell/167</v>
      </c>
      <c r="B177" s="8" t="s">
        <v>24</v>
      </c>
      <c r="C177" s="38" t="s">
        <v>162</v>
      </c>
      <c r="D177" s="66" t="s">
        <v>692</v>
      </c>
      <c r="E177" s="38" t="s">
        <v>368</v>
      </c>
      <c r="F177" s="53"/>
      <c r="G177" s="56"/>
      <c r="H177" s="53"/>
      <c r="I177" s="57"/>
      <c r="J177" s="24"/>
      <c r="K177" s="24"/>
      <c r="L177" s="24"/>
      <c r="M177" s="22"/>
      <c r="N177" s="22"/>
    </row>
    <row r="178" spans="1:14" ht="15.75" customHeight="1" x14ac:dyDescent="0.35">
      <c r="A178" s="33" t="str">
        <f>CONCATENATE("mldcat-ap-fair:","cell/",ROWS(A$11:A178))</f>
        <v>mldcat-ap-fair:cell/168</v>
      </c>
      <c r="B178" s="8" t="s">
        <v>24</v>
      </c>
      <c r="C178" s="38" t="s">
        <v>123</v>
      </c>
      <c r="D178" s="66" t="s">
        <v>693</v>
      </c>
      <c r="E178" s="38" t="s">
        <v>329</v>
      </c>
      <c r="F178" s="53"/>
      <c r="G178" s="56"/>
      <c r="H178" s="53"/>
      <c r="I178" s="57"/>
      <c r="J178" s="24"/>
      <c r="K178" s="24"/>
      <c r="L178" s="24"/>
      <c r="M178" s="22"/>
      <c r="N178" s="22"/>
    </row>
    <row r="179" spans="1:14" ht="15.75" customHeight="1" x14ac:dyDescent="0.35">
      <c r="A179" s="33" t="str">
        <f>CONCATENATE("mldcat-ap-fair:","cell/",ROWS(A$11:A179))</f>
        <v>mldcat-ap-fair:cell/169</v>
      </c>
      <c r="B179" s="8" t="s">
        <v>24</v>
      </c>
      <c r="C179" s="38" t="s">
        <v>163</v>
      </c>
      <c r="D179" s="66" t="s">
        <v>694</v>
      </c>
      <c r="E179" s="38" t="s">
        <v>369</v>
      </c>
      <c r="F179" s="53"/>
      <c r="G179" s="56"/>
      <c r="H179" s="53"/>
      <c r="I179" s="57"/>
      <c r="J179" s="24"/>
      <c r="K179" s="24"/>
      <c r="L179" s="24"/>
      <c r="M179" s="22"/>
      <c r="N179" s="22"/>
    </row>
    <row r="180" spans="1:14" ht="15.75" customHeight="1" x14ac:dyDescent="0.35">
      <c r="A180" s="33" t="str">
        <f>CONCATENATE("mldcat-ap-fair:","cell/",ROWS(A$11:A180))</f>
        <v>mldcat-ap-fair:cell/170</v>
      </c>
      <c r="B180" s="8" t="s">
        <v>24</v>
      </c>
      <c r="C180" s="38" t="s">
        <v>164</v>
      </c>
      <c r="D180" s="66" t="s">
        <v>695</v>
      </c>
      <c r="E180" s="38" t="s">
        <v>370</v>
      </c>
      <c r="F180" s="53"/>
      <c r="G180" s="56"/>
      <c r="H180" s="53"/>
      <c r="I180" s="57"/>
      <c r="J180" s="24"/>
      <c r="K180" s="24"/>
      <c r="L180" s="24"/>
      <c r="M180" s="22"/>
      <c r="N180" s="22"/>
    </row>
    <row r="181" spans="1:14" ht="15.75" customHeight="1" x14ac:dyDescent="0.35">
      <c r="A181" s="33" t="str">
        <f>CONCATENATE("mldcat-ap-fair:","cell/",ROWS(A$11:A181))</f>
        <v>mldcat-ap-fair:cell/171</v>
      </c>
      <c r="B181" s="8" t="s">
        <v>24</v>
      </c>
      <c r="C181" s="38" t="s">
        <v>61</v>
      </c>
      <c r="D181" s="66" t="s">
        <v>696</v>
      </c>
      <c r="E181" s="38" t="s">
        <v>260</v>
      </c>
      <c r="F181" s="53"/>
      <c r="G181" s="56"/>
      <c r="H181" s="53"/>
      <c r="I181" s="57"/>
      <c r="J181" s="24"/>
      <c r="K181" s="24"/>
      <c r="L181" s="24"/>
      <c r="M181" s="22"/>
      <c r="N181" s="22"/>
    </row>
    <row r="182" spans="1:14" ht="15.75" customHeight="1" x14ac:dyDescent="0.35">
      <c r="A182" s="33" t="str">
        <f>CONCATENATE("mldcat-ap-fair:","cell/",ROWS(A$11:A182))</f>
        <v>mldcat-ap-fair:cell/172</v>
      </c>
      <c r="B182" s="8" t="s">
        <v>24</v>
      </c>
      <c r="C182" s="38" t="s">
        <v>165</v>
      </c>
      <c r="D182" s="66" t="s">
        <v>697</v>
      </c>
      <c r="E182" s="38" t="s">
        <v>371</v>
      </c>
      <c r="F182" s="53"/>
      <c r="G182" s="56"/>
      <c r="H182" s="53"/>
      <c r="I182" s="57"/>
      <c r="J182" s="24"/>
      <c r="K182" s="24"/>
      <c r="L182" s="24"/>
      <c r="M182" s="22"/>
      <c r="N182" s="22"/>
    </row>
    <row r="183" spans="1:14" ht="15.75" customHeight="1" x14ac:dyDescent="0.35">
      <c r="A183" s="33" t="str">
        <f>CONCATENATE("mldcat-ap-fair:","cell/",ROWS(A$11:A183))</f>
        <v>mldcat-ap-fair:cell/173</v>
      </c>
      <c r="B183" s="8" t="s">
        <v>24</v>
      </c>
      <c r="C183" s="38" t="s">
        <v>71</v>
      </c>
      <c r="D183" s="66" t="s">
        <v>698</v>
      </c>
      <c r="E183" s="38" t="s">
        <v>266</v>
      </c>
      <c r="F183" s="53"/>
      <c r="G183" s="56"/>
      <c r="H183" s="53"/>
      <c r="I183" s="57"/>
      <c r="J183" s="24"/>
      <c r="K183" s="24"/>
      <c r="L183" s="24"/>
      <c r="M183" s="22"/>
      <c r="N183" s="22"/>
    </row>
    <row r="184" spans="1:14" ht="15.75" customHeight="1" x14ac:dyDescent="0.35">
      <c r="A184" s="33" t="str">
        <f>CONCATENATE("mldcat-ap-fair:","cell/",ROWS(A$11:A184))</f>
        <v>mldcat-ap-fair:cell/174</v>
      </c>
      <c r="B184" s="8" t="s">
        <v>24</v>
      </c>
      <c r="C184" s="38" t="s">
        <v>84</v>
      </c>
      <c r="D184" s="66" t="s">
        <v>699</v>
      </c>
      <c r="E184" s="38" t="s">
        <v>322</v>
      </c>
      <c r="F184" s="53"/>
      <c r="G184" s="56"/>
      <c r="H184" s="53"/>
      <c r="I184" s="57"/>
      <c r="J184" s="24"/>
      <c r="K184" s="24"/>
      <c r="L184" s="24"/>
      <c r="M184" s="22"/>
      <c r="N184" s="22"/>
    </row>
    <row r="185" spans="1:14" ht="15.75" customHeight="1" x14ac:dyDescent="0.35">
      <c r="A185" s="33" t="str">
        <f>CONCATENATE("mldcat-ap-fair:","cell/",ROWS(A$11:A185))</f>
        <v>mldcat-ap-fair:cell/175</v>
      </c>
      <c r="B185" s="8" t="s">
        <v>24</v>
      </c>
      <c r="C185" s="38" t="s">
        <v>166</v>
      </c>
      <c r="D185" s="66" t="s">
        <v>700</v>
      </c>
      <c r="E185" s="38" t="s">
        <v>372</v>
      </c>
      <c r="F185" s="53"/>
      <c r="G185" s="56"/>
      <c r="H185" s="53"/>
      <c r="I185" s="57"/>
      <c r="J185" s="24"/>
      <c r="K185" s="24"/>
      <c r="L185" s="24"/>
      <c r="M185" s="22"/>
      <c r="N185" s="22"/>
    </row>
    <row r="186" spans="1:14" ht="15.75" customHeight="1" x14ac:dyDescent="0.35">
      <c r="A186" s="33" t="str">
        <f>CONCATENATE("mldcat-ap-fair:","cell/",ROWS(A$11:A186))</f>
        <v>mldcat-ap-fair:cell/176</v>
      </c>
      <c r="B186" s="8" t="s">
        <v>24</v>
      </c>
      <c r="C186" s="38" t="s">
        <v>71</v>
      </c>
      <c r="D186" s="66" t="s">
        <v>701</v>
      </c>
      <c r="E186" s="38" t="s">
        <v>266</v>
      </c>
      <c r="F186" s="53"/>
      <c r="G186" s="56"/>
      <c r="H186" s="53"/>
      <c r="I186" s="57"/>
      <c r="J186" s="24"/>
      <c r="K186" s="24"/>
      <c r="L186" s="24"/>
      <c r="M186" s="22"/>
      <c r="N186" s="22"/>
    </row>
    <row r="187" spans="1:14" ht="15.75" customHeight="1" x14ac:dyDescent="0.35">
      <c r="A187" s="33" t="str">
        <f>CONCATENATE("mldcat-ap-fair:","cell/",ROWS(A$11:A187))</f>
        <v>mldcat-ap-fair:cell/177</v>
      </c>
      <c r="B187" s="8" t="s">
        <v>24</v>
      </c>
      <c r="C187" s="38" t="s">
        <v>167</v>
      </c>
      <c r="D187" s="66" t="s">
        <v>702</v>
      </c>
      <c r="E187" s="38" t="s">
        <v>373</v>
      </c>
      <c r="F187" s="53"/>
      <c r="G187" s="56"/>
      <c r="H187" s="53"/>
      <c r="I187" s="57"/>
      <c r="J187" s="24"/>
      <c r="K187" s="24"/>
      <c r="L187" s="24"/>
      <c r="M187" s="22"/>
      <c r="N187" s="22"/>
    </row>
    <row r="188" spans="1:14" ht="15.75" customHeight="1" x14ac:dyDescent="0.35">
      <c r="A188" s="33" t="str">
        <f>CONCATENATE("mldcat-ap-fair:","cell/",ROWS(A$11:A188))</f>
        <v>mldcat-ap-fair:cell/178</v>
      </c>
      <c r="B188" s="8" t="s">
        <v>24</v>
      </c>
      <c r="C188" s="38" t="s">
        <v>71</v>
      </c>
      <c r="D188" s="66" t="s">
        <v>703</v>
      </c>
      <c r="E188" s="38" t="s">
        <v>266</v>
      </c>
      <c r="F188" s="53"/>
      <c r="G188" s="56"/>
      <c r="H188" s="53"/>
      <c r="I188" s="57"/>
      <c r="J188" s="24"/>
      <c r="K188" s="24"/>
      <c r="L188" s="24"/>
      <c r="M188" s="22"/>
      <c r="N188" s="22"/>
    </row>
    <row r="189" spans="1:14" ht="15.75" customHeight="1" x14ac:dyDescent="0.35">
      <c r="A189" s="33" t="str">
        <f>CONCATENATE("mldcat-ap-fair:","cell/",ROWS(A$11:A189))</f>
        <v>mldcat-ap-fair:cell/179</v>
      </c>
      <c r="B189" s="8" t="s">
        <v>24</v>
      </c>
      <c r="C189" s="38" t="s">
        <v>160</v>
      </c>
      <c r="D189" s="66" t="s">
        <v>704</v>
      </c>
      <c r="E189" s="38" t="s">
        <v>366</v>
      </c>
      <c r="F189" s="53"/>
      <c r="G189" s="56"/>
      <c r="H189" s="53"/>
      <c r="I189" s="57"/>
      <c r="J189" s="24"/>
      <c r="K189" s="24"/>
      <c r="L189" s="24"/>
      <c r="M189" s="22"/>
      <c r="N189" s="22"/>
    </row>
    <row r="190" spans="1:14" ht="15.75" customHeight="1" x14ac:dyDescent="0.35">
      <c r="A190" s="33" t="str">
        <f>CONCATENATE("mldcat-ap-fair:","cell/",ROWS(A$11:A190))</f>
        <v>mldcat-ap-fair:cell/180</v>
      </c>
      <c r="B190" s="8" t="s">
        <v>24</v>
      </c>
      <c r="C190" s="38" t="s">
        <v>168</v>
      </c>
      <c r="D190" s="66" t="s">
        <v>705</v>
      </c>
      <c r="E190" s="38" t="s">
        <v>374</v>
      </c>
      <c r="F190" s="53"/>
      <c r="G190" s="56"/>
      <c r="H190" s="53"/>
      <c r="I190" s="57"/>
      <c r="J190" s="24"/>
      <c r="K190" s="24"/>
      <c r="L190" s="24"/>
      <c r="M190" s="22"/>
      <c r="N190" s="22"/>
    </row>
    <row r="191" spans="1:14" ht="15.75" customHeight="1" x14ac:dyDescent="0.35">
      <c r="A191" s="33" t="str">
        <f>CONCATENATE("mldcat-ap-fair:","cell/",ROWS(A$11:A191))</f>
        <v>mldcat-ap-fair:cell/181</v>
      </c>
      <c r="B191" s="8" t="s">
        <v>24</v>
      </c>
      <c r="C191" s="38" t="s">
        <v>83</v>
      </c>
      <c r="D191" s="66" t="s">
        <v>706</v>
      </c>
      <c r="E191" s="38" t="s">
        <v>269</v>
      </c>
      <c r="F191" s="53"/>
      <c r="G191" s="56"/>
      <c r="H191" s="53"/>
      <c r="I191" s="57"/>
      <c r="J191" s="24"/>
      <c r="K191" s="24"/>
      <c r="L191" s="24"/>
      <c r="M191" s="22"/>
      <c r="N191" s="22"/>
    </row>
    <row r="192" spans="1:14" ht="15.75" customHeight="1" x14ac:dyDescent="0.35">
      <c r="A192" s="33" t="str">
        <f>CONCATENATE("mldcat-ap-fair:","cell/",ROWS(A$11:A192))</f>
        <v>mldcat-ap-fair:cell/182</v>
      </c>
      <c r="B192" s="8" t="s">
        <v>24</v>
      </c>
      <c r="C192" s="38" t="s">
        <v>169</v>
      </c>
      <c r="D192" s="66" t="s">
        <v>707</v>
      </c>
      <c r="E192" s="38" t="s">
        <v>375</v>
      </c>
      <c r="F192" s="53"/>
      <c r="G192" s="56"/>
      <c r="H192" s="53"/>
      <c r="I192" s="57"/>
      <c r="J192" s="24"/>
      <c r="K192" s="24"/>
      <c r="L192" s="24"/>
      <c r="M192" s="22"/>
      <c r="N192" s="22"/>
    </row>
    <row r="193" spans="1:14" ht="15.75" customHeight="1" x14ac:dyDescent="0.35">
      <c r="A193" s="40" t="str">
        <f>CONCATENATE("mldcat-ap-fair:","cell/",ROWS(A$11:A193))</f>
        <v>mldcat-ap-fair:cell/183</v>
      </c>
      <c r="B193" s="8" t="s">
        <v>24</v>
      </c>
      <c r="C193" s="38" t="s">
        <v>170</v>
      </c>
      <c r="D193" s="66" t="s">
        <v>708</v>
      </c>
      <c r="E193" s="38" t="s">
        <v>376</v>
      </c>
      <c r="F193" s="52" t="s">
        <v>474</v>
      </c>
      <c r="G193" s="56" t="s">
        <v>842</v>
      </c>
      <c r="H193" s="56" t="s">
        <v>514</v>
      </c>
      <c r="I193" s="39" t="s">
        <v>56</v>
      </c>
      <c r="J193" s="35">
        <v>1</v>
      </c>
      <c r="K193" s="8" t="s">
        <v>57</v>
      </c>
      <c r="L193" s="24"/>
      <c r="M193" s="37" t="s">
        <v>475</v>
      </c>
      <c r="N193" s="22"/>
    </row>
    <row r="194" spans="1:14" ht="15.75" customHeight="1" x14ac:dyDescent="0.35">
      <c r="A194" s="40" t="str">
        <f>CONCATENATE("mldcat-ap-fair:","cell/",ROWS(A$11:A194))</f>
        <v>mldcat-ap-fair:cell/184</v>
      </c>
      <c r="B194" s="8" t="s">
        <v>24</v>
      </c>
      <c r="C194" s="38" t="s">
        <v>171</v>
      </c>
      <c r="D194" s="66" t="s">
        <v>709</v>
      </c>
      <c r="E194" s="38" t="s">
        <v>377</v>
      </c>
      <c r="F194" s="52" t="s">
        <v>487</v>
      </c>
      <c r="G194" s="56" t="s">
        <v>843</v>
      </c>
      <c r="H194" s="56" t="s">
        <v>516</v>
      </c>
      <c r="I194" s="36" t="s">
        <v>55</v>
      </c>
      <c r="J194" s="54">
        <v>1</v>
      </c>
      <c r="K194" s="24" t="s">
        <v>73</v>
      </c>
      <c r="L194" s="24"/>
      <c r="M194" s="22"/>
      <c r="N194" s="22"/>
    </row>
    <row r="195" spans="1:14" ht="15.75" customHeight="1" x14ac:dyDescent="0.35">
      <c r="A195" s="40" t="str">
        <f>CONCATENATE("mldcat-ap-fair:","cell/",ROWS(A$11:A195))</f>
        <v>mldcat-ap-fair:cell/185</v>
      </c>
      <c r="B195" s="8" t="s">
        <v>24</v>
      </c>
      <c r="C195" s="38" t="s">
        <v>61</v>
      </c>
      <c r="D195" s="66" t="s">
        <v>710</v>
      </c>
      <c r="E195" s="38" t="s">
        <v>260</v>
      </c>
      <c r="F195" s="52" t="s">
        <v>490</v>
      </c>
      <c r="G195" s="56" t="s">
        <v>844</v>
      </c>
      <c r="H195" s="56" t="s">
        <v>260</v>
      </c>
      <c r="I195" s="36" t="s">
        <v>55</v>
      </c>
      <c r="J195" s="54">
        <v>1</v>
      </c>
      <c r="K195" s="24" t="s">
        <v>73</v>
      </c>
      <c r="L195" s="24"/>
      <c r="M195" s="22"/>
      <c r="N195" s="22"/>
    </row>
    <row r="196" spans="1:14" ht="15.75" customHeight="1" x14ac:dyDescent="0.35">
      <c r="A196" s="33" t="str">
        <f>CONCATENATE("mldcat-ap-fair:","cell/",ROWS(A$11:A196))</f>
        <v>mldcat-ap-fair:cell/186</v>
      </c>
      <c r="B196" s="8" t="s">
        <v>24</v>
      </c>
      <c r="C196" s="38" t="s">
        <v>172</v>
      </c>
      <c r="D196" s="66" t="s">
        <v>711</v>
      </c>
      <c r="E196" s="38" t="s">
        <v>378</v>
      </c>
      <c r="F196" s="53"/>
      <c r="G196" s="56"/>
      <c r="H196" s="53"/>
      <c r="I196" s="57"/>
      <c r="J196" s="24"/>
      <c r="K196" s="24"/>
      <c r="L196" s="24"/>
      <c r="M196" s="22"/>
      <c r="N196" s="22"/>
    </row>
    <row r="197" spans="1:14" ht="15.75" customHeight="1" x14ac:dyDescent="0.35">
      <c r="A197" s="33" t="str">
        <f>CONCATENATE("mldcat-ap-fair:","cell/",ROWS(A$11:A197))</f>
        <v>mldcat-ap-fair:cell/187</v>
      </c>
      <c r="B197" s="8" t="s">
        <v>24</v>
      </c>
      <c r="C197" s="38" t="s">
        <v>173</v>
      </c>
      <c r="D197" s="66" t="s">
        <v>712</v>
      </c>
      <c r="E197" s="38" t="s">
        <v>379</v>
      </c>
      <c r="F197" s="53"/>
      <c r="G197" s="56"/>
      <c r="H197" s="53"/>
      <c r="I197" s="57"/>
      <c r="J197" s="24"/>
      <c r="K197" s="24"/>
      <c r="L197" s="24"/>
      <c r="M197" s="22"/>
      <c r="N197" s="22"/>
    </row>
    <row r="198" spans="1:14" ht="15.75" customHeight="1" x14ac:dyDescent="0.35">
      <c r="A198" s="33" t="str">
        <f>CONCATENATE("mldcat-ap-fair:","cell/",ROWS(A$11:A198))</f>
        <v>mldcat-ap-fair:cell/188</v>
      </c>
      <c r="B198" s="8" t="s">
        <v>24</v>
      </c>
      <c r="C198" s="38" t="s">
        <v>80</v>
      </c>
      <c r="D198" s="66" t="s">
        <v>713</v>
      </c>
      <c r="E198" s="38" t="s">
        <v>298</v>
      </c>
      <c r="F198" s="53"/>
      <c r="G198" s="56"/>
      <c r="H198" s="53"/>
      <c r="I198" s="57"/>
      <c r="J198" s="24"/>
      <c r="K198" s="24"/>
      <c r="L198" s="24"/>
      <c r="M198" s="22"/>
      <c r="N198" s="22"/>
    </row>
    <row r="199" spans="1:14" ht="15.75" customHeight="1" x14ac:dyDescent="0.35">
      <c r="A199" s="40" t="str">
        <f>CONCATENATE("mldcat-ap-fair:","cell/",ROWS(A$11:A199))</f>
        <v>mldcat-ap-fair:cell/189</v>
      </c>
      <c r="B199" s="8" t="s">
        <v>24</v>
      </c>
      <c r="C199" s="38" t="s">
        <v>174</v>
      </c>
      <c r="D199" s="66" t="s">
        <v>714</v>
      </c>
      <c r="E199" s="38" t="s">
        <v>380</v>
      </c>
      <c r="F199" s="52" t="s">
        <v>480</v>
      </c>
      <c r="G199" s="56" t="s">
        <v>845</v>
      </c>
      <c r="H199" s="56" t="s">
        <v>515</v>
      </c>
      <c r="I199" s="36" t="s">
        <v>55</v>
      </c>
      <c r="J199" s="54">
        <v>1</v>
      </c>
      <c r="K199" s="24" t="s">
        <v>73</v>
      </c>
      <c r="L199" s="24"/>
      <c r="M199" s="22"/>
      <c r="N199" s="22"/>
    </row>
    <row r="200" spans="1:14" ht="15.75" customHeight="1" x14ac:dyDescent="0.35">
      <c r="A200" s="40" t="str">
        <f>CONCATENATE("mldcat-ap-fair:","cell/",ROWS(A$11:A200))</f>
        <v>mldcat-ap-fair:cell/190</v>
      </c>
      <c r="B200" s="8" t="s">
        <v>24</v>
      </c>
      <c r="C200" s="38" t="s">
        <v>175</v>
      </c>
      <c r="D200" s="66" t="s">
        <v>715</v>
      </c>
      <c r="E200" s="38" t="s">
        <v>381</v>
      </c>
      <c r="F200" s="52" t="s">
        <v>471</v>
      </c>
      <c r="G200" s="56" t="s">
        <v>846</v>
      </c>
      <c r="H200" s="56" t="s">
        <v>381</v>
      </c>
      <c r="I200" s="36" t="s">
        <v>55</v>
      </c>
      <c r="J200" s="54">
        <v>1</v>
      </c>
      <c r="K200" s="24" t="s">
        <v>73</v>
      </c>
      <c r="L200" s="24"/>
      <c r="M200" s="22"/>
      <c r="N200" s="22"/>
    </row>
    <row r="201" spans="1:14" ht="15.75" customHeight="1" x14ac:dyDescent="0.35">
      <c r="A201" s="40" t="str">
        <f>CONCATENATE("mldcat-ap-fair:","cell/",ROWS(A$11:A201))</f>
        <v>mldcat-ap-fair:cell/191</v>
      </c>
      <c r="B201" s="8" t="s">
        <v>24</v>
      </c>
      <c r="C201" s="38" t="s">
        <v>67</v>
      </c>
      <c r="D201" s="66" t="s">
        <v>716</v>
      </c>
      <c r="E201" s="38" t="s">
        <v>263</v>
      </c>
      <c r="F201" s="52" t="s">
        <v>494</v>
      </c>
      <c r="G201" s="56" t="s">
        <v>847</v>
      </c>
      <c r="H201" s="56" t="s">
        <v>523</v>
      </c>
      <c r="I201" s="36" t="s">
        <v>55</v>
      </c>
      <c r="J201" s="54">
        <v>1</v>
      </c>
      <c r="K201" s="24" t="s">
        <v>73</v>
      </c>
      <c r="L201" s="24"/>
      <c r="M201" s="22"/>
      <c r="N201" s="22"/>
    </row>
    <row r="202" spans="1:14" ht="15.75" customHeight="1" x14ac:dyDescent="0.35">
      <c r="A202" s="40" t="str">
        <f>CONCATENATE("mldcat-ap-fair:","cell/",ROWS(A$11:A202))</f>
        <v>mldcat-ap-fair:cell/192</v>
      </c>
      <c r="B202" s="8" t="s">
        <v>24</v>
      </c>
      <c r="C202" s="38" t="s">
        <v>82</v>
      </c>
      <c r="D202" s="66" t="s">
        <v>717</v>
      </c>
      <c r="E202" s="38" t="s">
        <v>300</v>
      </c>
      <c r="F202" s="52" t="s">
        <v>493</v>
      </c>
      <c r="G202" s="56" t="s">
        <v>848</v>
      </c>
      <c r="H202" s="56" t="s">
        <v>517</v>
      </c>
      <c r="I202" s="36" t="s">
        <v>55</v>
      </c>
      <c r="J202" s="54">
        <v>1</v>
      </c>
      <c r="K202" s="24" t="s">
        <v>73</v>
      </c>
      <c r="L202" s="24"/>
      <c r="M202" s="22"/>
      <c r="N202" s="22"/>
    </row>
    <row r="203" spans="1:14" ht="15.75" customHeight="1" x14ac:dyDescent="0.35">
      <c r="A203" s="40" t="str">
        <f>CONCATENATE("mldcat-ap-fair:","cell/",ROWS(A$11:A203))</f>
        <v>mldcat-ap-fair:cell/193</v>
      </c>
      <c r="B203" s="8" t="s">
        <v>24</v>
      </c>
      <c r="C203" s="38" t="s">
        <v>176</v>
      </c>
      <c r="D203" s="66" t="s">
        <v>718</v>
      </c>
      <c r="E203" s="38" t="s">
        <v>382</v>
      </c>
      <c r="F203" s="52" t="s">
        <v>474</v>
      </c>
      <c r="G203" s="56" t="s">
        <v>842</v>
      </c>
      <c r="H203" s="56" t="s">
        <v>514</v>
      </c>
      <c r="I203" s="39" t="s">
        <v>56</v>
      </c>
      <c r="J203" s="35">
        <v>1</v>
      </c>
      <c r="K203" s="8" t="s">
        <v>57</v>
      </c>
      <c r="L203" s="24"/>
      <c r="M203" s="37" t="s">
        <v>475</v>
      </c>
      <c r="N203" s="22"/>
    </row>
    <row r="204" spans="1:14" ht="15.75" customHeight="1" x14ac:dyDescent="0.35">
      <c r="A204" s="40" t="str">
        <f>CONCATENATE("mldcat-ap-fair:","cell/",ROWS(A$11:A204))</f>
        <v>mldcat-ap-fair:cell/194</v>
      </c>
      <c r="B204" s="8" t="s">
        <v>24</v>
      </c>
      <c r="C204" s="38" t="s">
        <v>92</v>
      </c>
      <c r="D204" s="66" t="s">
        <v>719</v>
      </c>
      <c r="E204" s="38" t="s">
        <v>383</v>
      </c>
      <c r="F204" s="52" t="s">
        <v>488</v>
      </c>
      <c r="G204" s="56" t="s">
        <v>849</v>
      </c>
      <c r="H204" s="56" t="s">
        <v>518</v>
      </c>
      <c r="I204" s="36" t="s">
        <v>55</v>
      </c>
      <c r="J204" s="54">
        <v>1</v>
      </c>
      <c r="K204" s="24" t="s">
        <v>73</v>
      </c>
      <c r="L204" s="24"/>
      <c r="M204" s="22"/>
      <c r="N204" s="22"/>
    </row>
    <row r="205" spans="1:14" ht="15.75" customHeight="1" x14ac:dyDescent="0.35">
      <c r="A205" s="40" t="str">
        <f>CONCATENATE("mldcat-ap-fair:","cell/",ROWS(A$11:A205))</f>
        <v>mldcat-ap-fair:cell/195</v>
      </c>
      <c r="B205" s="8" t="s">
        <v>24</v>
      </c>
      <c r="C205" s="38" t="s">
        <v>177</v>
      </c>
      <c r="D205" s="66" t="s">
        <v>720</v>
      </c>
      <c r="E205" s="38" t="s">
        <v>265</v>
      </c>
      <c r="F205" s="52" t="s">
        <v>489</v>
      </c>
      <c r="G205" s="56" t="s">
        <v>850</v>
      </c>
      <c r="H205" s="56"/>
      <c r="I205" s="36" t="s">
        <v>55</v>
      </c>
      <c r="J205" s="54">
        <v>1</v>
      </c>
      <c r="K205" s="24" t="s">
        <v>73</v>
      </c>
      <c r="L205" s="24"/>
      <c r="M205" s="22"/>
      <c r="N205" s="22"/>
    </row>
    <row r="206" spans="1:14" ht="15.75" customHeight="1" x14ac:dyDescent="0.35">
      <c r="A206" s="33" t="str">
        <f>CONCATENATE("mldcat-ap-fair:","cell/",ROWS(A$11:A206))</f>
        <v>mldcat-ap-fair:cell/196</v>
      </c>
      <c r="B206" s="8" t="s">
        <v>24</v>
      </c>
      <c r="C206" s="38" t="s">
        <v>178</v>
      </c>
      <c r="D206" s="66" t="s">
        <v>721</v>
      </c>
      <c r="E206" s="38" t="s">
        <v>384</v>
      </c>
      <c r="F206" s="53"/>
      <c r="G206" s="56"/>
      <c r="H206" s="53"/>
      <c r="I206" s="57"/>
      <c r="J206" s="24"/>
      <c r="K206" s="24"/>
      <c r="L206" s="24"/>
      <c r="M206" s="22"/>
      <c r="N206" s="22"/>
    </row>
    <row r="207" spans="1:14" ht="15.75" customHeight="1" x14ac:dyDescent="0.35">
      <c r="A207" s="33" t="str">
        <f>CONCATENATE("mldcat-ap-fair:","cell/",ROWS(A$11:A207))</f>
        <v>mldcat-ap-fair:cell/197</v>
      </c>
      <c r="B207" s="8" t="s">
        <v>24</v>
      </c>
      <c r="C207" s="38" t="s">
        <v>179</v>
      </c>
      <c r="D207" s="66" t="s">
        <v>722</v>
      </c>
      <c r="E207" s="38" t="s">
        <v>385</v>
      </c>
      <c r="F207" s="53"/>
      <c r="G207" s="56"/>
      <c r="H207" s="53"/>
      <c r="I207" s="57"/>
      <c r="J207" s="24"/>
      <c r="K207" s="24"/>
      <c r="L207" s="24"/>
      <c r="M207" s="22"/>
      <c r="N207" s="22"/>
    </row>
    <row r="208" spans="1:14" ht="15.75" customHeight="1" x14ac:dyDescent="0.35">
      <c r="A208" s="40" t="str">
        <f>CONCATENATE("mldcat-ap-fair:","cell/",ROWS(A$11:A208))</f>
        <v>mldcat-ap-fair:cell/198</v>
      </c>
      <c r="B208" s="8" t="s">
        <v>24</v>
      </c>
      <c r="C208" s="38" t="s">
        <v>71</v>
      </c>
      <c r="D208" s="66" t="s">
        <v>723</v>
      </c>
      <c r="E208" s="38" t="s">
        <v>324</v>
      </c>
      <c r="F208" s="52" t="s">
        <v>496</v>
      </c>
      <c r="G208" s="56" t="s">
        <v>851</v>
      </c>
      <c r="H208" s="56" t="s">
        <v>324</v>
      </c>
      <c r="I208" s="36" t="s">
        <v>55</v>
      </c>
      <c r="J208" s="54">
        <v>1</v>
      </c>
      <c r="K208" s="24" t="s">
        <v>73</v>
      </c>
      <c r="L208" s="24"/>
      <c r="M208" s="22"/>
      <c r="N208" s="22"/>
    </row>
    <row r="209" spans="1:14" ht="15.75" customHeight="1" x14ac:dyDescent="0.35">
      <c r="A209" s="33" t="str">
        <f>CONCATENATE("mldcat-ap-fair:","cell/",ROWS(A$11:A209))</f>
        <v>mldcat-ap-fair:cell/199</v>
      </c>
      <c r="B209" s="8" t="s">
        <v>24</v>
      </c>
      <c r="C209" s="38" t="s">
        <v>180</v>
      </c>
      <c r="D209" s="66" t="s">
        <v>724</v>
      </c>
      <c r="E209" s="38" t="s">
        <v>386</v>
      </c>
      <c r="F209" s="53"/>
      <c r="G209" s="56"/>
      <c r="H209" s="53"/>
      <c r="I209" s="57"/>
      <c r="J209" s="24"/>
      <c r="K209" s="24"/>
      <c r="L209" s="24"/>
      <c r="M209" s="22"/>
      <c r="N209" s="22"/>
    </row>
    <row r="210" spans="1:14" ht="15.75" customHeight="1" x14ac:dyDescent="0.35">
      <c r="A210" s="33" t="str">
        <f>CONCATENATE("mldcat-ap-fair:","cell/",ROWS(A$11:A210))</f>
        <v>mldcat-ap-fair:cell/200</v>
      </c>
      <c r="B210" s="8" t="s">
        <v>24</v>
      </c>
      <c r="C210" s="38" t="s">
        <v>181</v>
      </c>
      <c r="D210" s="66" t="s">
        <v>725</v>
      </c>
      <c r="E210" s="38" t="s">
        <v>387</v>
      </c>
      <c r="F210" s="53"/>
      <c r="G210" s="56"/>
      <c r="H210" s="53"/>
      <c r="I210" s="57"/>
      <c r="J210" s="24"/>
      <c r="K210" s="24"/>
      <c r="L210" s="24"/>
      <c r="M210" s="22"/>
      <c r="N210" s="22"/>
    </row>
    <row r="211" spans="1:14" ht="15.75" customHeight="1" x14ac:dyDescent="0.35">
      <c r="A211" s="40" t="str">
        <f>CONCATENATE("mldcat-ap-fair:","cell/",ROWS(A$11:A211))</f>
        <v>mldcat-ap-fair:cell/201</v>
      </c>
      <c r="B211" s="8" t="s">
        <v>24</v>
      </c>
      <c r="C211" s="38" t="s">
        <v>84</v>
      </c>
      <c r="D211" s="66" t="s">
        <v>726</v>
      </c>
      <c r="E211" s="38" t="s">
        <v>322</v>
      </c>
      <c r="F211" s="52" t="s">
        <v>472</v>
      </c>
      <c r="G211" s="56" t="s">
        <v>852</v>
      </c>
      <c r="H211" s="56" t="s">
        <v>519</v>
      </c>
      <c r="I211" s="39" t="s">
        <v>56</v>
      </c>
      <c r="J211" s="35">
        <v>1</v>
      </c>
      <c r="K211" s="8" t="s">
        <v>57</v>
      </c>
      <c r="L211" s="24"/>
      <c r="M211" s="37" t="s">
        <v>473</v>
      </c>
      <c r="N211" s="22"/>
    </row>
    <row r="212" spans="1:14" ht="15.75" customHeight="1" x14ac:dyDescent="0.35">
      <c r="A212" s="40" t="str">
        <f>CONCATENATE("mldcat-ap-fair:","cell/",ROWS(A$11:A212))</f>
        <v>mldcat-ap-fair:cell/202</v>
      </c>
      <c r="B212" s="8" t="s">
        <v>24</v>
      </c>
      <c r="C212" s="38" t="s">
        <v>160</v>
      </c>
      <c r="D212" s="66" t="s">
        <v>727</v>
      </c>
      <c r="E212" s="38" t="s">
        <v>366</v>
      </c>
      <c r="F212" s="52" t="s">
        <v>497</v>
      </c>
      <c r="G212" s="56" t="s">
        <v>853</v>
      </c>
      <c r="H212" s="56" t="s">
        <v>366</v>
      </c>
      <c r="I212" s="36" t="s">
        <v>55</v>
      </c>
      <c r="J212" s="54">
        <v>1</v>
      </c>
      <c r="K212" s="24" t="s">
        <v>73</v>
      </c>
      <c r="L212" s="24"/>
      <c r="M212" s="22"/>
      <c r="N212" s="22"/>
    </row>
    <row r="213" spans="1:14" ht="15.75" customHeight="1" x14ac:dyDescent="0.35">
      <c r="A213" s="40" t="str">
        <f>CONCATENATE("mldcat-ap-fair:","cell/",ROWS(A$11:A213))</f>
        <v>mldcat-ap-fair:cell/203</v>
      </c>
      <c r="B213" s="8" t="s">
        <v>24</v>
      </c>
      <c r="C213" s="38" t="s">
        <v>59</v>
      </c>
      <c r="D213" s="66" t="s">
        <v>728</v>
      </c>
      <c r="E213" s="38" t="s">
        <v>288</v>
      </c>
      <c r="F213" s="52" t="s">
        <v>486</v>
      </c>
      <c r="G213" s="56" t="s">
        <v>854</v>
      </c>
      <c r="H213" s="56" t="s">
        <v>288</v>
      </c>
      <c r="I213" s="36" t="s">
        <v>55</v>
      </c>
      <c r="J213" s="54">
        <v>1</v>
      </c>
      <c r="K213" s="24" t="s">
        <v>73</v>
      </c>
      <c r="L213" s="24"/>
      <c r="M213" s="22"/>
      <c r="N213" s="22"/>
    </row>
    <row r="214" spans="1:14" ht="15.75" customHeight="1" x14ac:dyDescent="0.35">
      <c r="A214" s="40" t="str">
        <f>CONCATENATE("mldcat-ap-fair:","cell/",ROWS(A$11:A214))</f>
        <v>mldcat-ap-fair:cell/204</v>
      </c>
      <c r="B214" s="8" t="s">
        <v>24</v>
      </c>
      <c r="C214" s="38" t="s">
        <v>60</v>
      </c>
      <c r="D214" s="66" t="s">
        <v>729</v>
      </c>
      <c r="E214" s="38" t="s">
        <v>267</v>
      </c>
      <c r="F214" s="52" t="s">
        <v>482</v>
      </c>
      <c r="G214" s="56" t="s">
        <v>855</v>
      </c>
      <c r="H214" s="56" t="s">
        <v>267</v>
      </c>
      <c r="I214" s="36" t="s">
        <v>55</v>
      </c>
      <c r="J214" s="54">
        <v>1</v>
      </c>
      <c r="K214" s="24" t="s">
        <v>73</v>
      </c>
      <c r="L214" s="24"/>
      <c r="M214" s="22"/>
      <c r="N214" s="22"/>
    </row>
    <row r="215" spans="1:14" ht="15.75" customHeight="1" x14ac:dyDescent="0.35">
      <c r="A215" s="40" t="str">
        <f>CONCATENATE("mldcat-ap-fair:","cell/",ROWS(A$11:A215))</f>
        <v>mldcat-ap-fair:cell/205</v>
      </c>
      <c r="B215" s="8" t="s">
        <v>24</v>
      </c>
      <c r="C215" s="38" t="s">
        <v>182</v>
      </c>
      <c r="D215" s="66" t="s">
        <v>730</v>
      </c>
      <c r="E215" s="38" t="s">
        <v>388</v>
      </c>
      <c r="F215" s="52" t="s">
        <v>469</v>
      </c>
      <c r="G215" s="56" t="s">
        <v>856</v>
      </c>
      <c r="H215" s="56" t="s">
        <v>388</v>
      </c>
      <c r="I215" s="36" t="s">
        <v>55</v>
      </c>
      <c r="J215" s="54">
        <v>1</v>
      </c>
      <c r="K215" s="24" t="s">
        <v>73</v>
      </c>
      <c r="L215" s="24"/>
      <c r="M215" s="22"/>
      <c r="N215" s="22"/>
    </row>
    <row r="216" spans="1:14" ht="15.75" customHeight="1" x14ac:dyDescent="0.35">
      <c r="A216" s="33" t="str">
        <f>CONCATENATE("mldcat-ap-fair:","cell/",ROWS(A$11:A216))</f>
        <v>mldcat-ap-fair:cell/206</v>
      </c>
      <c r="B216" s="8" t="s">
        <v>24</v>
      </c>
      <c r="C216" s="38" t="s">
        <v>183</v>
      </c>
      <c r="D216" s="66" t="s">
        <v>731</v>
      </c>
      <c r="E216" s="38" t="s">
        <v>389</v>
      </c>
      <c r="F216" s="53"/>
      <c r="G216" s="56"/>
      <c r="H216" s="53"/>
      <c r="I216" s="57"/>
      <c r="J216" s="24"/>
      <c r="K216" s="24"/>
      <c r="L216" s="24"/>
      <c r="M216" s="22"/>
      <c r="N216" s="22"/>
    </row>
    <row r="217" spans="1:14" ht="15.75" customHeight="1" x14ac:dyDescent="0.35">
      <c r="A217" s="33" t="str">
        <f>CONCATENATE("mldcat-ap-fair:","cell/",ROWS(A$11:A217))</f>
        <v>mldcat-ap-fair:cell/207</v>
      </c>
      <c r="B217" s="8" t="s">
        <v>24</v>
      </c>
      <c r="C217" s="38" t="s">
        <v>184</v>
      </c>
      <c r="D217" s="66" t="s">
        <v>732</v>
      </c>
      <c r="E217" s="38" t="s">
        <v>390</v>
      </c>
      <c r="F217" s="53"/>
      <c r="G217" s="56"/>
      <c r="H217" s="53"/>
      <c r="I217" s="57"/>
      <c r="J217" s="24"/>
      <c r="K217" s="24"/>
      <c r="L217" s="24"/>
      <c r="M217" s="37"/>
      <c r="N217" s="22"/>
    </row>
    <row r="218" spans="1:14" ht="15.75" customHeight="1" x14ac:dyDescent="0.35">
      <c r="A218" s="33" t="str">
        <f>CONCATENATE("mldcat-ap-fair:","cell/",ROWS(A$11:A218))</f>
        <v>mldcat-ap-fair:cell/208</v>
      </c>
      <c r="B218" s="8" t="s">
        <v>24</v>
      </c>
      <c r="C218" s="38" t="s">
        <v>185</v>
      </c>
      <c r="D218" s="66" t="s">
        <v>733</v>
      </c>
      <c r="E218" s="38" t="s">
        <v>391</v>
      </c>
      <c r="F218" s="53"/>
      <c r="G218" s="56"/>
      <c r="H218" s="53"/>
      <c r="I218" s="57"/>
      <c r="J218" s="24"/>
      <c r="K218" s="24"/>
      <c r="L218" s="24"/>
      <c r="M218" s="22"/>
      <c r="N218" s="22"/>
    </row>
    <row r="219" spans="1:14" ht="15.75" customHeight="1" x14ac:dyDescent="0.35">
      <c r="A219" s="40" t="str">
        <f>CONCATENATE("mldcat-ap-fair:","cell/",ROWS(A$11:A219))</f>
        <v>mldcat-ap-fair:cell/209</v>
      </c>
      <c r="B219" s="8" t="s">
        <v>24</v>
      </c>
      <c r="C219" s="38" t="s">
        <v>186</v>
      </c>
      <c r="D219" s="66" t="s">
        <v>734</v>
      </c>
      <c r="E219" s="38" t="s">
        <v>392</v>
      </c>
      <c r="F219" s="52" t="s">
        <v>491</v>
      </c>
      <c r="G219" s="56" t="s">
        <v>857</v>
      </c>
      <c r="H219" s="56" t="s">
        <v>524</v>
      </c>
      <c r="I219" s="36" t="s">
        <v>55</v>
      </c>
      <c r="J219" s="54">
        <v>0.7</v>
      </c>
      <c r="K219" s="24" t="s">
        <v>73</v>
      </c>
      <c r="L219" s="24"/>
      <c r="M219" s="37" t="s">
        <v>492</v>
      </c>
      <c r="N219" s="22"/>
    </row>
    <row r="220" spans="1:14" ht="15.75" customHeight="1" x14ac:dyDescent="0.35">
      <c r="A220" s="33" t="str">
        <f>CONCATENATE("mldcat-ap-fair:","cell/",ROWS(A$11:A220))</f>
        <v>mldcat-ap-fair:cell/210</v>
      </c>
      <c r="B220" s="8" t="s">
        <v>24</v>
      </c>
      <c r="C220" s="38" t="s">
        <v>187</v>
      </c>
      <c r="D220" s="66" t="s">
        <v>735</v>
      </c>
      <c r="E220" s="38" t="s">
        <v>393</v>
      </c>
      <c r="F220" s="53"/>
      <c r="G220" s="56"/>
      <c r="H220" s="53"/>
      <c r="I220" s="57"/>
      <c r="J220" s="24"/>
      <c r="K220" s="24"/>
      <c r="L220" s="24"/>
      <c r="M220" s="22"/>
      <c r="N220" s="22"/>
    </row>
    <row r="221" spans="1:14" ht="15.75" customHeight="1" x14ac:dyDescent="0.35">
      <c r="A221" s="33" t="str">
        <f>CONCATENATE("mldcat-ap-fair:","cell/",ROWS(A$11:A221))</f>
        <v>mldcat-ap-fair:cell/211</v>
      </c>
      <c r="B221" s="8" t="s">
        <v>24</v>
      </c>
      <c r="C221" s="38" t="s">
        <v>188</v>
      </c>
      <c r="D221" s="66" t="s">
        <v>736</v>
      </c>
      <c r="E221" s="38" t="s">
        <v>394</v>
      </c>
      <c r="F221" s="53"/>
      <c r="G221" s="56"/>
      <c r="H221" s="53"/>
      <c r="I221" s="57"/>
      <c r="J221" s="24"/>
      <c r="K221" s="24"/>
      <c r="L221" s="24"/>
      <c r="M221" s="22"/>
      <c r="N221" s="22"/>
    </row>
    <row r="222" spans="1:14" ht="15.75" customHeight="1" x14ac:dyDescent="0.35">
      <c r="A222" s="33" t="str">
        <f>CONCATENATE("mldcat-ap-fair:","cell/",ROWS(A$11:A222))</f>
        <v>mldcat-ap-fair:cell/212</v>
      </c>
      <c r="B222" s="8" t="s">
        <v>24</v>
      </c>
      <c r="C222" s="38" t="s">
        <v>189</v>
      </c>
      <c r="D222" s="66" t="s">
        <v>737</v>
      </c>
      <c r="E222" s="38" t="s">
        <v>395</v>
      </c>
      <c r="F222" s="53"/>
      <c r="G222" s="56"/>
      <c r="H222" s="53"/>
      <c r="I222" s="57"/>
      <c r="J222" s="24"/>
      <c r="K222" s="24"/>
      <c r="L222" s="24"/>
      <c r="M222" s="22"/>
      <c r="N222" s="22"/>
    </row>
    <row r="223" spans="1:14" ht="15.75" customHeight="1" x14ac:dyDescent="0.35">
      <c r="A223" s="40" t="str">
        <f>CONCATENATE("mldcat-ap-fair:","cell/",ROWS(A$11:A223))</f>
        <v>mldcat-ap-fair:cell/213</v>
      </c>
      <c r="B223" s="8" t="s">
        <v>24</v>
      </c>
      <c r="C223" s="38" t="s">
        <v>190</v>
      </c>
      <c r="D223" s="66" t="s">
        <v>738</v>
      </c>
      <c r="E223" s="38" t="s">
        <v>396</v>
      </c>
      <c r="F223" s="52" t="s">
        <v>484</v>
      </c>
      <c r="G223" s="56" t="s">
        <v>858</v>
      </c>
      <c r="H223" s="56" t="s">
        <v>520</v>
      </c>
      <c r="I223" s="36" t="s">
        <v>55</v>
      </c>
      <c r="J223" s="54">
        <v>0.7</v>
      </c>
      <c r="K223" s="24" t="s">
        <v>73</v>
      </c>
      <c r="L223" s="24"/>
      <c r="M223" s="37" t="s">
        <v>485</v>
      </c>
      <c r="N223" s="22"/>
    </row>
    <row r="224" spans="1:14" ht="15.75" customHeight="1" x14ac:dyDescent="0.35">
      <c r="A224" s="40" t="str">
        <f>CONCATENATE("mldcat-ap-fair:","cell/",ROWS(A$11:A224))</f>
        <v>mldcat-ap-fair:cell/214</v>
      </c>
      <c r="B224" s="8" t="s">
        <v>24</v>
      </c>
      <c r="C224" s="38" t="s">
        <v>191</v>
      </c>
      <c r="D224" s="66" t="s">
        <v>739</v>
      </c>
      <c r="E224" s="38" t="s">
        <v>397</v>
      </c>
      <c r="F224" s="52" t="s">
        <v>474</v>
      </c>
      <c r="G224" s="56" t="s">
        <v>842</v>
      </c>
      <c r="H224" s="56" t="s">
        <v>514</v>
      </c>
      <c r="I224" s="39" t="s">
        <v>56</v>
      </c>
      <c r="J224" s="35">
        <v>1</v>
      </c>
      <c r="K224" s="8" t="s">
        <v>57</v>
      </c>
      <c r="L224" s="24"/>
      <c r="M224" s="37" t="s">
        <v>475</v>
      </c>
      <c r="N224" s="22"/>
    </row>
    <row r="225" spans="1:14" ht="15.75" customHeight="1" x14ac:dyDescent="0.35">
      <c r="A225" s="40" t="str">
        <f>CONCATENATE("mldcat-ap-fair:","cell/",ROWS(A$11:A225))</f>
        <v>mldcat-ap-fair:cell/215</v>
      </c>
      <c r="B225" s="8" t="s">
        <v>24</v>
      </c>
      <c r="C225" s="38" t="s">
        <v>123</v>
      </c>
      <c r="D225" s="66" t="s">
        <v>740</v>
      </c>
      <c r="E225" s="38" t="s">
        <v>329</v>
      </c>
      <c r="F225" s="52" t="s">
        <v>476</v>
      </c>
      <c r="G225" s="56" t="s">
        <v>859</v>
      </c>
      <c r="H225" s="56" t="s">
        <v>521</v>
      </c>
      <c r="I225" s="39" t="s">
        <v>56</v>
      </c>
      <c r="J225" s="35">
        <v>0.7</v>
      </c>
      <c r="K225" s="8" t="s">
        <v>57</v>
      </c>
      <c r="L225" s="24"/>
      <c r="M225" s="37" t="s">
        <v>477</v>
      </c>
      <c r="N225" s="22"/>
    </row>
    <row r="226" spans="1:14" ht="15.75" customHeight="1" x14ac:dyDescent="0.35">
      <c r="A226" s="33" t="str">
        <f>CONCATENATE("mldcat-ap-fair:","cell/",ROWS(A$11:A226))</f>
        <v>mldcat-ap-fair:cell/216</v>
      </c>
      <c r="B226" s="8" t="s">
        <v>24</v>
      </c>
      <c r="C226" s="38" t="s">
        <v>192</v>
      </c>
      <c r="D226" s="66" t="s">
        <v>741</v>
      </c>
      <c r="E226" s="38" t="s">
        <v>398</v>
      </c>
      <c r="F226" s="53"/>
      <c r="G226" s="56"/>
      <c r="H226" s="53"/>
      <c r="I226" s="57"/>
      <c r="J226" s="24"/>
      <c r="K226" s="24"/>
      <c r="L226" s="24"/>
      <c r="M226" s="22"/>
      <c r="N226" s="22"/>
    </row>
    <row r="227" spans="1:14" ht="15.75" customHeight="1" x14ac:dyDescent="0.35">
      <c r="A227" s="40" t="str">
        <f>CONCATENATE("mldcat-ap-fair:","cell/",ROWS(A$11:A227))</f>
        <v>mldcat-ap-fair:cell/217</v>
      </c>
      <c r="B227" s="8" t="s">
        <v>24</v>
      </c>
      <c r="C227" s="38" t="s">
        <v>83</v>
      </c>
      <c r="D227" s="66" t="s">
        <v>742</v>
      </c>
      <c r="E227" s="38" t="s">
        <v>269</v>
      </c>
      <c r="F227" s="52" t="s">
        <v>495</v>
      </c>
      <c r="G227" s="56" t="s">
        <v>860</v>
      </c>
      <c r="H227" s="56" t="s">
        <v>269</v>
      </c>
      <c r="I227" s="36" t="s">
        <v>55</v>
      </c>
      <c r="J227" s="54">
        <v>1</v>
      </c>
      <c r="K227" s="24" t="s">
        <v>73</v>
      </c>
      <c r="L227" s="8"/>
      <c r="M227" s="22"/>
      <c r="N227" s="22"/>
    </row>
    <row r="228" spans="1:14" ht="15.75" customHeight="1" x14ac:dyDescent="0.35">
      <c r="A228" s="33" t="str">
        <f>CONCATENATE("mldcat-ap-fair:","cell/",ROWS(A$11:A228))</f>
        <v>mldcat-ap-fair:cell/218</v>
      </c>
      <c r="B228" s="8" t="s">
        <v>24</v>
      </c>
      <c r="C228" s="38" t="s">
        <v>193</v>
      </c>
      <c r="D228" s="66" t="s">
        <v>743</v>
      </c>
      <c r="E228" s="38" t="s">
        <v>399</v>
      </c>
      <c r="F228" s="53"/>
      <c r="G228" s="56"/>
      <c r="H228" s="53"/>
      <c r="I228" s="57"/>
      <c r="J228" s="24"/>
      <c r="K228" s="24"/>
      <c r="L228" s="24"/>
      <c r="M228" s="22"/>
      <c r="N228" s="22"/>
    </row>
    <row r="229" spans="1:14" ht="15.75" customHeight="1" x14ac:dyDescent="0.35">
      <c r="A229" s="40" t="str">
        <f>CONCATENATE("mldcat-ap-fair:","cell/",ROWS(A$11:A229))</f>
        <v>mldcat-ap-fair:cell/219</v>
      </c>
      <c r="B229" s="8" t="s">
        <v>24</v>
      </c>
      <c r="C229" s="38" t="s">
        <v>194</v>
      </c>
      <c r="D229" s="66" t="s">
        <v>744</v>
      </c>
      <c r="E229" s="38" t="s">
        <v>400</v>
      </c>
      <c r="F229" s="52" t="s">
        <v>467</v>
      </c>
      <c r="G229" s="56" t="s">
        <v>861</v>
      </c>
      <c r="H229" s="56" t="s">
        <v>522</v>
      </c>
      <c r="I229" s="36" t="s">
        <v>55</v>
      </c>
      <c r="J229" s="54">
        <v>0.7</v>
      </c>
      <c r="K229" s="24" t="s">
        <v>73</v>
      </c>
      <c r="L229" s="24"/>
      <c r="M229" s="37" t="s">
        <v>468</v>
      </c>
      <c r="N229" s="22"/>
    </row>
    <row r="230" spans="1:14" ht="15.75" customHeight="1" x14ac:dyDescent="0.35">
      <c r="A230" s="40" t="str">
        <f>CONCATENATE("mldcat-ap-fair:","cell/",ROWS(A$11:A230))</f>
        <v>mldcat-ap-fair:cell/220</v>
      </c>
      <c r="B230" s="8" t="s">
        <v>24</v>
      </c>
      <c r="C230" s="38" t="s">
        <v>195</v>
      </c>
      <c r="D230" s="66" t="s">
        <v>745</v>
      </c>
      <c r="E230" s="38" t="s">
        <v>401</v>
      </c>
      <c r="F230" s="52" t="s">
        <v>478</v>
      </c>
      <c r="G230" s="56" t="s">
        <v>862</v>
      </c>
      <c r="H230" s="56" t="s">
        <v>401</v>
      </c>
      <c r="I230" s="36" t="s">
        <v>55</v>
      </c>
      <c r="J230" s="54">
        <v>1</v>
      </c>
      <c r="K230" s="24" t="s">
        <v>73</v>
      </c>
      <c r="L230" s="24"/>
      <c r="M230" s="22"/>
      <c r="N230" s="22"/>
    </row>
    <row r="231" spans="1:14" ht="15.75" customHeight="1" x14ac:dyDescent="0.35">
      <c r="A231" s="40" t="str">
        <f>CONCATENATE("mldcat-ap-fair:","cell/",ROWS(A$11:A231))</f>
        <v>mldcat-ap-fair:cell/221</v>
      </c>
      <c r="B231" s="8" t="s">
        <v>24</v>
      </c>
      <c r="C231" s="38" t="s">
        <v>196</v>
      </c>
      <c r="D231" s="66" t="s">
        <v>746</v>
      </c>
      <c r="E231" s="38" t="s">
        <v>402</v>
      </c>
      <c r="F231" s="52" t="s">
        <v>479</v>
      </c>
      <c r="G231" s="56" t="s">
        <v>863</v>
      </c>
      <c r="H231" s="56" t="s">
        <v>402</v>
      </c>
      <c r="I231" s="36" t="s">
        <v>55</v>
      </c>
      <c r="J231" s="54">
        <v>1</v>
      </c>
      <c r="K231" s="24" t="s">
        <v>73</v>
      </c>
      <c r="L231" s="24"/>
      <c r="M231" s="22"/>
      <c r="N231" s="22"/>
    </row>
    <row r="232" spans="1:14" ht="15.75" customHeight="1" x14ac:dyDescent="0.35">
      <c r="A232" s="40" t="str">
        <f>CONCATENATE("mldcat-ap-fair:","cell/",ROWS(A$11:A232))</f>
        <v>mldcat-ap-fair:cell/222</v>
      </c>
      <c r="B232" s="8" t="s">
        <v>24</v>
      </c>
      <c r="C232" s="38" t="s">
        <v>197</v>
      </c>
      <c r="D232" s="66" t="s">
        <v>747</v>
      </c>
      <c r="E232" s="38" t="s">
        <v>403</v>
      </c>
      <c r="F232" s="52" t="s">
        <v>481</v>
      </c>
      <c r="G232" s="56" t="s">
        <v>864</v>
      </c>
      <c r="H232" s="56" t="s">
        <v>403</v>
      </c>
      <c r="I232" s="36" t="s">
        <v>55</v>
      </c>
      <c r="J232" s="54">
        <v>1</v>
      </c>
      <c r="K232" s="24" t="s">
        <v>73</v>
      </c>
      <c r="L232" s="24"/>
      <c r="M232" s="22"/>
      <c r="N232" s="22"/>
    </row>
    <row r="233" spans="1:14" ht="15.75" customHeight="1" x14ac:dyDescent="0.35">
      <c r="A233" s="33" t="str">
        <f>CONCATENATE("mldcat-ap-fair:","cell/",ROWS(A$11:A233))</f>
        <v>mldcat-ap-fair:cell/223</v>
      </c>
      <c r="B233" s="8" t="s">
        <v>24</v>
      </c>
      <c r="C233" s="38" t="s">
        <v>198</v>
      </c>
      <c r="D233" s="66" t="s">
        <v>748</v>
      </c>
      <c r="E233" s="38" t="s">
        <v>404</v>
      </c>
      <c r="F233" s="53"/>
      <c r="G233" s="56"/>
      <c r="H233" s="53"/>
      <c r="I233" s="57"/>
      <c r="J233" s="24"/>
      <c r="K233" s="24"/>
      <c r="L233" s="24"/>
      <c r="M233" s="22"/>
      <c r="N233" s="22"/>
    </row>
    <row r="234" spans="1:14" ht="15.75" customHeight="1" x14ac:dyDescent="0.35">
      <c r="A234" s="33" t="str">
        <f>CONCATENATE("mldcat-ap-fair:","cell/",ROWS(A$11:A234))</f>
        <v>mldcat-ap-fair:cell/224</v>
      </c>
      <c r="B234" s="8" t="s">
        <v>24</v>
      </c>
      <c r="C234" s="38" t="s">
        <v>199</v>
      </c>
      <c r="D234" s="66" t="s">
        <v>749</v>
      </c>
      <c r="E234" s="38" t="s">
        <v>405</v>
      </c>
      <c r="F234" s="53"/>
      <c r="G234" s="56"/>
      <c r="H234" s="53"/>
      <c r="I234" s="57"/>
      <c r="J234" s="24"/>
      <c r="K234" s="24"/>
      <c r="L234" s="24"/>
      <c r="M234" s="22"/>
      <c r="N234" s="22"/>
    </row>
    <row r="235" spans="1:14" ht="15.75" customHeight="1" x14ac:dyDescent="0.35">
      <c r="A235" s="33" t="str">
        <f>CONCATENATE("mldcat-ap-fair:","cell/",ROWS(A$11:A235))</f>
        <v>mldcat-ap-fair:cell/225</v>
      </c>
      <c r="B235" s="8" t="s">
        <v>24</v>
      </c>
      <c r="C235" s="38" t="s">
        <v>63</v>
      </c>
      <c r="D235" s="66" t="s">
        <v>750</v>
      </c>
      <c r="E235" s="38" t="s">
        <v>359</v>
      </c>
      <c r="F235" s="53"/>
      <c r="G235" s="56"/>
      <c r="H235" s="53"/>
      <c r="I235" s="57"/>
      <c r="J235" s="24"/>
      <c r="K235" s="24"/>
      <c r="L235" s="24"/>
      <c r="M235" s="22"/>
      <c r="N235" s="22"/>
    </row>
    <row r="236" spans="1:14" ht="15.75" customHeight="1" x14ac:dyDescent="0.35">
      <c r="A236" s="33" t="str">
        <f>CONCATENATE("mldcat-ap-fair:","cell/",ROWS(A$11:A236))</f>
        <v>mldcat-ap-fair:cell/226</v>
      </c>
      <c r="B236" s="8" t="s">
        <v>24</v>
      </c>
      <c r="C236" s="38" t="s">
        <v>71</v>
      </c>
      <c r="D236" s="66" t="s">
        <v>751</v>
      </c>
      <c r="E236" s="38" t="s">
        <v>266</v>
      </c>
      <c r="F236" s="53"/>
      <c r="G236" s="56"/>
      <c r="H236" s="53"/>
      <c r="I236" s="57"/>
      <c r="J236" s="24"/>
      <c r="K236" s="24"/>
      <c r="L236" s="24"/>
      <c r="M236" s="22"/>
      <c r="N236" s="22"/>
    </row>
    <row r="237" spans="1:14" ht="15.75" customHeight="1" x14ac:dyDescent="0.35">
      <c r="A237" s="33" t="str">
        <f>CONCATENATE("mldcat-ap-fair:","cell/",ROWS(A$11:A237))</f>
        <v>mldcat-ap-fair:cell/227</v>
      </c>
      <c r="B237" s="8" t="s">
        <v>24</v>
      </c>
      <c r="C237" s="38" t="s">
        <v>154</v>
      </c>
      <c r="D237" s="66" t="s">
        <v>752</v>
      </c>
      <c r="E237" s="38" t="s">
        <v>360</v>
      </c>
      <c r="F237" s="53"/>
      <c r="G237" s="56"/>
      <c r="H237" s="53"/>
      <c r="I237" s="57"/>
      <c r="J237" s="24"/>
      <c r="K237" s="24"/>
      <c r="L237" s="24"/>
      <c r="M237" s="22"/>
      <c r="N237" s="22"/>
    </row>
    <row r="238" spans="1:14" ht="15.75" customHeight="1" x14ac:dyDescent="0.35">
      <c r="A238" s="33" t="str">
        <f>CONCATENATE("mldcat-ap-fair:","cell/",ROWS(A$11:A238))</f>
        <v>mldcat-ap-fair:cell/228</v>
      </c>
      <c r="B238" s="8" t="s">
        <v>24</v>
      </c>
      <c r="C238" s="38" t="s">
        <v>200</v>
      </c>
      <c r="D238" s="66" t="s">
        <v>753</v>
      </c>
      <c r="E238" s="38" t="s">
        <v>406</v>
      </c>
      <c r="F238" s="53"/>
      <c r="G238" s="56"/>
      <c r="H238" s="53"/>
      <c r="I238" s="57"/>
      <c r="J238" s="24"/>
      <c r="K238" s="24"/>
      <c r="L238" s="24"/>
      <c r="M238" s="22"/>
      <c r="N238" s="22"/>
    </row>
    <row r="239" spans="1:14" ht="15.75" customHeight="1" x14ac:dyDescent="0.35">
      <c r="A239" s="33" t="str">
        <f>CONCATENATE("mldcat-ap-fair:","cell/",ROWS(A$11:A239))</f>
        <v>mldcat-ap-fair:cell/229</v>
      </c>
      <c r="B239" s="8" t="s">
        <v>24</v>
      </c>
      <c r="C239" s="38" t="s">
        <v>201</v>
      </c>
      <c r="D239" s="66" t="s">
        <v>754</v>
      </c>
      <c r="E239" s="38" t="s">
        <v>407</v>
      </c>
      <c r="F239" s="53"/>
      <c r="G239" s="56"/>
      <c r="H239" s="53"/>
      <c r="I239" s="57"/>
      <c r="J239" s="24"/>
      <c r="K239" s="24"/>
      <c r="L239" s="24"/>
      <c r="M239" s="22"/>
      <c r="N239" s="22"/>
    </row>
    <row r="240" spans="1:14" ht="15.75" customHeight="1" x14ac:dyDescent="0.35">
      <c r="A240" s="33" t="str">
        <f>CONCATENATE("mldcat-ap-fair:","cell/",ROWS(A$11:A240))</f>
        <v>mldcat-ap-fair:cell/230</v>
      </c>
      <c r="B240" s="8" t="s">
        <v>24</v>
      </c>
      <c r="C240" s="38" t="s">
        <v>71</v>
      </c>
      <c r="D240" s="66" t="s">
        <v>755</v>
      </c>
      <c r="E240" s="38" t="s">
        <v>324</v>
      </c>
      <c r="F240" s="53"/>
      <c r="G240" s="56"/>
      <c r="H240" s="53"/>
      <c r="I240" s="57"/>
      <c r="J240" s="24"/>
      <c r="K240" s="24"/>
      <c r="L240" s="24"/>
      <c r="M240" s="22"/>
      <c r="N240" s="22"/>
    </row>
    <row r="241" spans="1:14" ht="15.75" customHeight="1" x14ac:dyDescent="0.35">
      <c r="A241" s="33" t="str">
        <f>CONCATENATE("mldcat-ap-fair:","cell/",ROWS(A$11:A241))</f>
        <v>mldcat-ap-fair:cell/231</v>
      </c>
      <c r="B241" s="8" t="s">
        <v>24</v>
      </c>
      <c r="C241" s="38" t="s">
        <v>146</v>
      </c>
      <c r="D241" s="66" t="s">
        <v>756</v>
      </c>
      <c r="E241" s="38" t="s">
        <v>320</v>
      </c>
      <c r="F241" s="53"/>
      <c r="G241" s="56"/>
      <c r="H241" s="53"/>
      <c r="I241" s="57"/>
      <c r="J241" s="24"/>
      <c r="K241" s="24"/>
      <c r="L241" s="24"/>
      <c r="M241" s="22"/>
      <c r="N241" s="22"/>
    </row>
    <row r="242" spans="1:14" ht="15.75" customHeight="1" x14ac:dyDescent="0.35">
      <c r="A242" s="33" t="str">
        <f>CONCATENATE("mldcat-ap-fair:","cell/",ROWS(A$11:A242))</f>
        <v>mldcat-ap-fair:cell/232</v>
      </c>
      <c r="B242" s="8" t="s">
        <v>24</v>
      </c>
      <c r="C242" s="38" t="s">
        <v>202</v>
      </c>
      <c r="D242" s="66" t="s">
        <v>757</v>
      </c>
      <c r="E242" s="38" t="s">
        <v>408</v>
      </c>
      <c r="F242" s="53"/>
      <c r="G242" s="56"/>
      <c r="H242" s="53"/>
      <c r="I242" s="57"/>
      <c r="J242" s="24"/>
      <c r="K242" s="24"/>
      <c r="L242" s="24"/>
      <c r="M242" s="22"/>
      <c r="N242" s="22"/>
    </row>
    <row r="243" spans="1:14" ht="15.75" customHeight="1" x14ac:dyDescent="0.35">
      <c r="A243" s="33" t="str">
        <f>CONCATENATE("mldcat-ap-fair:","cell/",ROWS(A$11:A243))</f>
        <v>mldcat-ap-fair:cell/233</v>
      </c>
      <c r="B243" s="8" t="s">
        <v>24</v>
      </c>
      <c r="C243" s="38" t="s">
        <v>79</v>
      </c>
      <c r="D243" s="66" t="s">
        <v>758</v>
      </c>
      <c r="E243" s="38" t="s">
        <v>256</v>
      </c>
      <c r="F243" s="53"/>
      <c r="G243" s="56"/>
      <c r="H243" s="53"/>
      <c r="I243" s="57"/>
      <c r="J243" s="24"/>
      <c r="K243" s="24"/>
      <c r="L243" s="24"/>
      <c r="M243" s="22"/>
      <c r="N243" s="22"/>
    </row>
    <row r="244" spans="1:14" ht="15.75" customHeight="1" x14ac:dyDescent="0.35">
      <c r="A244" s="33" t="str">
        <f>CONCATENATE("mldcat-ap-fair:","cell/",ROWS(A$11:A244))</f>
        <v>mldcat-ap-fair:cell/234</v>
      </c>
      <c r="B244" s="8" t="s">
        <v>24</v>
      </c>
      <c r="C244" s="38" t="s">
        <v>203</v>
      </c>
      <c r="D244" s="66" t="s">
        <v>759</v>
      </c>
      <c r="E244" s="38" t="s">
        <v>409</v>
      </c>
      <c r="F244" s="53"/>
      <c r="G244" s="56"/>
      <c r="H244" s="53"/>
      <c r="I244" s="57"/>
      <c r="J244" s="24"/>
      <c r="K244" s="24"/>
      <c r="L244" s="24"/>
      <c r="M244" s="22"/>
      <c r="N244" s="22"/>
    </row>
    <row r="245" spans="1:14" ht="15.75" customHeight="1" x14ac:dyDescent="0.35">
      <c r="A245" s="33" t="str">
        <f>CONCATENATE("mldcat-ap-fair:","cell/",ROWS(A$11:A245))</f>
        <v>mldcat-ap-fair:cell/235</v>
      </c>
      <c r="B245" s="8" t="s">
        <v>24</v>
      </c>
      <c r="C245" s="38" t="s">
        <v>204</v>
      </c>
      <c r="D245" s="66" t="s">
        <v>760</v>
      </c>
      <c r="E245" s="38" t="s">
        <v>410</v>
      </c>
      <c r="F245" s="53"/>
      <c r="G245" s="56"/>
      <c r="H245" s="53"/>
      <c r="I245" s="57"/>
      <c r="J245" s="24"/>
      <c r="K245" s="24"/>
      <c r="L245" s="24"/>
      <c r="M245" s="22"/>
      <c r="N245" s="22"/>
    </row>
    <row r="246" spans="1:14" ht="15.75" customHeight="1" x14ac:dyDescent="0.35">
      <c r="A246" s="33" t="str">
        <f>CONCATENATE("mldcat-ap-fair:","cell/",ROWS(A$11:A246))</f>
        <v>mldcat-ap-fair:cell/236</v>
      </c>
      <c r="B246" s="8" t="s">
        <v>24</v>
      </c>
      <c r="C246" s="38" t="s">
        <v>71</v>
      </c>
      <c r="D246" s="66" t="s">
        <v>761</v>
      </c>
      <c r="E246" s="38" t="s">
        <v>266</v>
      </c>
      <c r="F246" s="53"/>
      <c r="G246" s="56"/>
      <c r="H246" s="53"/>
      <c r="I246" s="57"/>
      <c r="J246" s="24"/>
      <c r="K246" s="24"/>
      <c r="L246" s="24"/>
      <c r="M246" s="22"/>
      <c r="N246" s="22"/>
    </row>
    <row r="247" spans="1:14" ht="15.75" customHeight="1" x14ac:dyDescent="0.35">
      <c r="A247" s="33" t="str">
        <f>CONCATENATE("mldcat-ap-fair:","cell/",ROWS(A$11:A247))</f>
        <v>mldcat-ap-fair:cell/237</v>
      </c>
      <c r="B247" s="8" t="s">
        <v>24</v>
      </c>
      <c r="C247" s="38" t="s">
        <v>84</v>
      </c>
      <c r="D247" s="66" t="s">
        <v>762</v>
      </c>
      <c r="E247" s="38" t="s">
        <v>322</v>
      </c>
      <c r="F247" s="53"/>
      <c r="G247" s="56"/>
      <c r="H247" s="53"/>
      <c r="I247" s="57"/>
      <c r="J247" s="24"/>
      <c r="K247" s="24"/>
      <c r="L247" s="24"/>
      <c r="M247" s="22"/>
      <c r="N247" s="22"/>
    </row>
    <row r="248" spans="1:14" ht="15.75" customHeight="1" x14ac:dyDescent="0.35">
      <c r="A248" s="33" t="str">
        <f>CONCATENATE("mldcat-ap-fair:","cell/",ROWS(A$11:A248))</f>
        <v>mldcat-ap-fair:cell/238</v>
      </c>
      <c r="B248" s="8" t="s">
        <v>24</v>
      </c>
      <c r="C248" s="38" t="s">
        <v>51</v>
      </c>
      <c r="D248" s="66" t="s">
        <v>763</v>
      </c>
      <c r="E248" s="38" t="s">
        <v>411</v>
      </c>
      <c r="F248" s="53"/>
      <c r="G248" s="56"/>
      <c r="H248" s="53"/>
      <c r="I248" s="57"/>
      <c r="J248" s="24"/>
      <c r="K248" s="24"/>
      <c r="L248" s="24"/>
      <c r="M248" s="22"/>
      <c r="N248" s="22"/>
    </row>
    <row r="249" spans="1:14" ht="15.75" customHeight="1" x14ac:dyDescent="0.35">
      <c r="A249" s="33" t="str">
        <f>CONCATENATE("mldcat-ap-fair:","cell/",ROWS(A$11:A249))</f>
        <v>mldcat-ap-fair:cell/239</v>
      </c>
      <c r="B249" s="8" t="s">
        <v>24</v>
      </c>
      <c r="C249" s="38" t="s">
        <v>205</v>
      </c>
      <c r="D249" s="66" t="s">
        <v>764</v>
      </c>
      <c r="E249" s="38" t="s">
        <v>412</v>
      </c>
      <c r="F249" s="53"/>
      <c r="G249" s="56"/>
      <c r="H249" s="53"/>
      <c r="I249" s="57"/>
      <c r="J249" s="24"/>
      <c r="K249" s="24"/>
      <c r="L249" s="24"/>
      <c r="M249" s="22"/>
      <c r="N249" s="22"/>
    </row>
    <row r="250" spans="1:14" ht="15.75" customHeight="1" x14ac:dyDescent="0.35">
      <c r="A250" s="33" t="str">
        <f>CONCATENATE("mldcat-ap-fair:","cell/",ROWS(A$11:A250))</f>
        <v>mldcat-ap-fair:cell/240</v>
      </c>
      <c r="B250" s="8" t="s">
        <v>24</v>
      </c>
      <c r="C250" s="38" t="s">
        <v>63</v>
      </c>
      <c r="D250" s="66" t="s">
        <v>765</v>
      </c>
      <c r="E250" s="38" t="s">
        <v>262</v>
      </c>
      <c r="F250" s="53"/>
      <c r="G250" s="56"/>
      <c r="H250" s="53"/>
      <c r="I250" s="57"/>
      <c r="J250" s="24"/>
      <c r="K250" s="24"/>
      <c r="L250" s="24"/>
      <c r="M250" s="22"/>
      <c r="N250" s="22"/>
    </row>
    <row r="251" spans="1:14" ht="15.75" customHeight="1" x14ac:dyDescent="0.35">
      <c r="A251" s="33" t="str">
        <f>CONCATENATE("mldcat-ap-fair:","cell/",ROWS(A$11:A251))</f>
        <v>mldcat-ap-fair:cell/241</v>
      </c>
      <c r="B251" s="8" t="s">
        <v>24</v>
      </c>
      <c r="C251" s="38" t="s">
        <v>206</v>
      </c>
      <c r="D251" s="66" t="s">
        <v>766</v>
      </c>
      <c r="E251" s="38" t="s">
        <v>413</v>
      </c>
      <c r="F251" s="53"/>
      <c r="G251" s="56"/>
      <c r="H251" s="53"/>
      <c r="I251" s="57"/>
      <c r="J251" s="24"/>
      <c r="K251" s="24"/>
      <c r="L251" s="24"/>
      <c r="M251" s="22"/>
      <c r="N251" s="22"/>
    </row>
    <row r="252" spans="1:14" ht="15.75" customHeight="1" x14ac:dyDescent="0.35">
      <c r="A252" s="33" t="str">
        <f>CONCATENATE("mldcat-ap-fair:","cell/",ROWS(A$11:A252))</f>
        <v>mldcat-ap-fair:cell/242</v>
      </c>
      <c r="B252" s="8" t="s">
        <v>24</v>
      </c>
      <c r="C252" s="38" t="s">
        <v>61</v>
      </c>
      <c r="D252" s="66" t="s">
        <v>767</v>
      </c>
      <c r="E252" s="38" t="s">
        <v>260</v>
      </c>
      <c r="F252" s="53"/>
      <c r="G252" s="56"/>
      <c r="H252" s="53"/>
      <c r="I252" s="57"/>
      <c r="J252" s="24"/>
      <c r="K252" s="24"/>
      <c r="L252" s="24"/>
      <c r="M252" s="22"/>
      <c r="N252" s="22"/>
    </row>
    <row r="253" spans="1:14" ht="15.75" customHeight="1" x14ac:dyDescent="0.35">
      <c r="A253" s="33" t="str">
        <f>CONCATENATE("mldcat-ap-fair:","cell/",ROWS(A$11:A253))</f>
        <v>mldcat-ap-fair:cell/243</v>
      </c>
      <c r="B253" s="8" t="s">
        <v>24</v>
      </c>
      <c r="C253" s="38" t="s">
        <v>207</v>
      </c>
      <c r="D253" s="66" t="s">
        <v>768</v>
      </c>
      <c r="E253" s="38" t="s">
        <v>414</v>
      </c>
      <c r="F253" s="53"/>
      <c r="G253" s="56"/>
      <c r="H253" s="53"/>
      <c r="I253" s="57"/>
      <c r="J253" s="24"/>
      <c r="K253" s="24"/>
      <c r="L253" s="24"/>
      <c r="M253" s="22"/>
      <c r="N253" s="22"/>
    </row>
    <row r="254" spans="1:14" ht="15.75" customHeight="1" x14ac:dyDescent="0.35">
      <c r="A254" s="33" t="str">
        <f>CONCATENATE("mldcat-ap-fair:","cell/",ROWS(A$11:A254))</f>
        <v>mldcat-ap-fair:cell/244</v>
      </c>
      <c r="B254" s="8" t="s">
        <v>24</v>
      </c>
      <c r="C254" s="38" t="s">
        <v>208</v>
      </c>
      <c r="D254" s="66" t="s">
        <v>769</v>
      </c>
      <c r="E254" s="38" t="s">
        <v>415</v>
      </c>
      <c r="F254" s="53"/>
      <c r="G254" s="56"/>
      <c r="H254" s="53"/>
      <c r="I254" s="57"/>
      <c r="J254" s="24"/>
      <c r="K254" s="24"/>
      <c r="L254" s="24"/>
      <c r="M254" s="22"/>
      <c r="N254" s="22"/>
    </row>
    <row r="255" spans="1:14" ht="15.75" customHeight="1" x14ac:dyDescent="0.35">
      <c r="A255" s="33" t="str">
        <f>CONCATENATE("mldcat-ap-fair:","cell/",ROWS(A$11:A255))</f>
        <v>mldcat-ap-fair:cell/245</v>
      </c>
      <c r="B255" s="8" t="s">
        <v>24</v>
      </c>
      <c r="C255" s="38" t="s">
        <v>209</v>
      </c>
      <c r="D255" s="66" t="s">
        <v>770</v>
      </c>
      <c r="E255" s="38" t="s">
        <v>416</v>
      </c>
      <c r="F255" s="53"/>
      <c r="G255" s="56"/>
      <c r="H255" s="53"/>
      <c r="I255" s="57"/>
      <c r="J255" s="24"/>
      <c r="K255" s="24"/>
      <c r="L255" s="24"/>
      <c r="M255" s="22"/>
      <c r="N255" s="22"/>
    </row>
    <row r="256" spans="1:14" ht="15.75" customHeight="1" x14ac:dyDescent="0.35">
      <c r="A256" s="33" t="str">
        <f>CONCATENATE("mldcat-ap-fair:","cell/",ROWS(A$11:A256))</f>
        <v>mldcat-ap-fair:cell/246</v>
      </c>
      <c r="B256" s="8" t="s">
        <v>24</v>
      </c>
      <c r="C256" s="38" t="s">
        <v>210</v>
      </c>
      <c r="D256" s="66" t="s">
        <v>771</v>
      </c>
      <c r="E256" s="38" t="s">
        <v>417</v>
      </c>
      <c r="F256" s="53"/>
      <c r="G256" s="56"/>
      <c r="H256" s="53"/>
      <c r="I256" s="57"/>
      <c r="J256" s="24"/>
      <c r="K256" s="24"/>
      <c r="L256" s="24"/>
      <c r="M256" s="22"/>
      <c r="N256" s="22"/>
    </row>
    <row r="257" spans="1:14" ht="15.75" customHeight="1" x14ac:dyDescent="0.35">
      <c r="A257" s="33" t="str">
        <f>CONCATENATE("mldcat-ap-fair:","cell/",ROWS(A$11:A257))</f>
        <v>mldcat-ap-fair:cell/247</v>
      </c>
      <c r="B257" s="8" t="s">
        <v>24</v>
      </c>
      <c r="C257" s="38" t="s">
        <v>211</v>
      </c>
      <c r="D257" s="66" t="s">
        <v>772</v>
      </c>
      <c r="E257" s="38" t="s">
        <v>418</v>
      </c>
      <c r="F257" s="53"/>
      <c r="G257" s="56"/>
      <c r="H257" s="53"/>
      <c r="I257" s="57"/>
      <c r="J257" s="24"/>
      <c r="K257" s="24"/>
      <c r="L257" s="24"/>
      <c r="M257" s="22"/>
      <c r="N257" s="22"/>
    </row>
    <row r="258" spans="1:14" ht="15.75" customHeight="1" x14ac:dyDescent="0.35">
      <c r="A258" s="33" t="str">
        <f>CONCATENATE("mldcat-ap-fair:","cell/",ROWS(A$11:A258))</f>
        <v>mldcat-ap-fair:cell/248</v>
      </c>
      <c r="B258" s="8" t="s">
        <v>24</v>
      </c>
      <c r="C258" s="38" t="s">
        <v>71</v>
      </c>
      <c r="D258" s="66" t="s">
        <v>773</v>
      </c>
      <c r="E258" s="38" t="s">
        <v>266</v>
      </c>
      <c r="F258" s="53"/>
      <c r="G258" s="56"/>
      <c r="H258" s="53"/>
      <c r="I258" s="57"/>
      <c r="J258" s="24"/>
      <c r="K258" s="24"/>
      <c r="L258" s="24"/>
      <c r="M258" s="22"/>
      <c r="N258" s="22"/>
    </row>
    <row r="259" spans="1:14" ht="15.75" customHeight="1" x14ac:dyDescent="0.35">
      <c r="A259" s="33" t="str">
        <f>CONCATENATE("mldcat-ap-fair:","cell/",ROWS(A$11:A259))</f>
        <v>mldcat-ap-fair:cell/249</v>
      </c>
      <c r="B259" s="8" t="s">
        <v>24</v>
      </c>
      <c r="C259" s="38" t="s">
        <v>84</v>
      </c>
      <c r="D259" s="66" t="s">
        <v>774</v>
      </c>
      <c r="E259" s="38" t="s">
        <v>322</v>
      </c>
      <c r="F259" s="53"/>
      <c r="G259" s="56"/>
      <c r="H259" s="53"/>
      <c r="I259" s="57"/>
      <c r="J259" s="24"/>
      <c r="K259" s="24"/>
      <c r="L259" s="24"/>
      <c r="M259" s="22"/>
      <c r="N259" s="22"/>
    </row>
    <row r="260" spans="1:14" ht="15.75" customHeight="1" x14ac:dyDescent="0.35">
      <c r="A260" s="33" t="str">
        <f>CONCATENATE("mldcat-ap-fair:","cell/",ROWS(A$11:A260))</f>
        <v>mldcat-ap-fair:cell/250</v>
      </c>
      <c r="B260" s="8" t="s">
        <v>24</v>
      </c>
      <c r="C260" s="38" t="s">
        <v>212</v>
      </c>
      <c r="D260" s="66" t="s">
        <v>775</v>
      </c>
      <c r="E260" s="38" t="s">
        <v>419</v>
      </c>
      <c r="F260" s="53"/>
      <c r="G260" s="56"/>
      <c r="H260" s="53"/>
      <c r="I260" s="57"/>
      <c r="J260" s="24"/>
      <c r="K260" s="24"/>
      <c r="L260" s="24"/>
      <c r="M260" s="22"/>
      <c r="N260" s="22"/>
    </row>
    <row r="261" spans="1:14" ht="15.75" customHeight="1" x14ac:dyDescent="0.35">
      <c r="A261" s="33" t="str">
        <f>CONCATENATE("mldcat-ap-fair:","cell/",ROWS(A$11:A261))</f>
        <v>mldcat-ap-fair:cell/251</v>
      </c>
      <c r="B261" s="8" t="s">
        <v>24</v>
      </c>
      <c r="C261" s="38" t="s">
        <v>213</v>
      </c>
      <c r="D261" s="66" t="s">
        <v>776</v>
      </c>
      <c r="E261" s="38" t="s">
        <v>420</v>
      </c>
      <c r="F261" s="53"/>
      <c r="G261" s="56"/>
      <c r="H261" s="53"/>
      <c r="I261" s="57"/>
      <c r="J261" s="24"/>
      <c r="K261" s="24"/>
      <c r="L261" s="24"/>
      <c r="M261" s="22"/>
      <c r="N261" s="22"/>
    </row>
    <row r="262" spans="1:14" ht="15.75" customHeight="1" x14ac:dyDescent="0.35">
      <c r="A262" s="33" t="str">
        <f>CONCATENATE("mldcat-ap-fair:","cell/",ROWS(A$11:A262))</f>
        <v>mldcat-ap-fair:cell/252</v>
      </c>
      <c r="B262" s="8" t="s">
        <v>24</v>
      </c>
      <c r="C262" s="38" t="s">
        <v>63</v>
      </c>
      <c r="D262" s="66" t="s">
        <v>777</v>
      </c>
      <c r="E262" s="38" t="s">
        <v>262</v>
      </c>
      <c r="F262" s="53"/>
      <c r="G262" s="56"/>
      <c r="H262" s="53"/>
      <c r="I262" s="57"/>
      <c r="J262" s="24"/>
      <c r="K262" s="24"/>
      <c r="L262" s="24"/>
      <c r="M262" s="22"/>
      <c r="N262" s="22"/>
    </row>
    <row r="263" spans="1:14" ht="15.75" customHeight="1" x14ac:dyDescent="0.35">
      <c r="A263" s="33" t="str">
        <f>CONCATENATE("mldcat-ap-fair:","cell/",ROWS(A$11:A263))</f>
        <v>mldcat-ap-fair:cell/253</v>
      </c>
      <c r="B263" s="8" t="s">
        <v>24</v>
      </c>
      <c r="C263" s="38" t="s">
        <v>67</v>
      </c>
      <c r="D263" s="66" t="s">
        <v>778</v>
      </c>
      <c r="E263" s="38" t="s">
        <v>263</v>
      </c>
      <c r="F263" s="53"/>
      <c r="G263" s="56"/>
      <c r="H263" s="53"/>
      <c r="I263" s="57"/>
      <c r="J263" s="24"/>
      <c r="K263" s="24"/>
      <c r="L263" s="24"/>
      <c r="M263" s="22"/>
      <c r="N263" s="22"/>
    </row>
    <row r="264" spans="1:14" ht="15.75" customHeight="1" x14ac:dyDescent="0.35">
      <c r="A264" s="33" t="str">
        <f>CONCATENATE("mldcat-ap-fair:","cell/",ROWS(A$11:A264))</f>
        <v>mldcat-ap-fair:cell/254</v>
      </c>
      <c r="B264" s="8" t="s">
        <v>24</v>
      </c>
      <c r="C264" s="38" t="s">
        <v>214</v>
      </c>
      <c r="D264" s="66" t="s">
        <v>779</v>
      </c>
      <c r="E264" s="38" t="s">
        <v>421</v>
      </c>
      <c r="F264" s="53"/>
      <c r="G264" s="56"/>
      <c r="H264" s="53"/>
      <c r="I264" s="57"/>
      <c r="J264" s="24"/>
      <c r="K264" s="24"/>
      <c r="L264" s="24"/>
      <c r="M264" s="22"/>
      <c r="N264" s="22"/>
    </row>
    <row r="265" spans="1:14" ht="15.75" customHeight="1" x14ac:dyDescent="0.35">
      <c r="A265" s="33" t="str">
        <f>CONCATENATE("mldcat-ap-fair:","cell/",ROWS(A$11:A265))</f>
        <v>mldcat-ap-fair:cell/255</v>
      </c>
      <c r="B265" s="8" t="s">
        <v>24</v>
      </c>
      <c r="C265" s="38" t="s">
        <v>215</v>
      </c>
      <c r="D265" s="66" t="s">
        <v>780</v>
      </c>
      <c r="E265" s="38" t="s">
        <v>422</v>
      </c>
      <c r="F265" s="53"/>
      <c r="G265" s="56"/>
      <c r="H265" s="53"/>
      <c r="I265" s="57"/>
      <c r="J265" s="24"/>
      <c r="K265" s="24"/>
      <c r="L265" s="24"/>
      <c r="M265" s="22"/>
      <c r="N265" s="22"/>
    </row>
    <row r="266" spans="1:14" ht="15.75" customHeight="1" x14ac:dyDescent="0.35">
      <c r="A266" s="33" t="str">
        <f>CONCATENATE("mldcat-ap-fair:","cell/",ROWS(A$11:A266))</f>
        <v>mldcat-ap-fair:cell/256</v>
      </c>
      <c r="B266" s="8" t="s">
        <v>24</v>
      </c>
      <c r="C266" s="38" t="s">
        <v>216</v>
      </c>
      <c r="D266" s="66" t="s">
        <v>781</v>
      </c>
      <c r="E266" s="38" t="s">
        <v>423</v>
      </c>
      <c r="F266" s="53"/>
      <c r="G266" s="56"/>
      <c r="H266" s="53"/>
      <c r="I266" s="57"/>
      <c r="J266" s="24"/>
      <c r="K266" s="24"/>
      <c r="L266" s="24"/>
      <c r="M266" s="22"/>
      <c r="N266" s="22"/>
    </row>
    <row r="267" spans="1:14" ht="15.75" customHeight="1" x14ac:dyDescent="0.35">
      <c r="A267" s="33" t="str">
        <f>CONCATENATE("mldcat-ap-fair:","cell/",ROWS(A$11:A267))</f>
        <v>mldcat-ap-fair:cell/257</v>
      </c>
      <c r="B267" s="8" t="s">
        <v>24</v>
      </c>
      <c r="C267" s="38" t="s">
        <v>217</v>
      </c>
      <c r="D267" s="66" t="s">
        <v>782</v>
      </c>
      <c r="E267" s="38" t="s">
        <v>424</v>
      </c>
      <c r="F267" s="53"/>
      <c r="G267" s="56"/>
      <c r="H267" s="53"/>
      <c r="I267" s="57"/>
      <c r="J267" s="24"/>
      <c r="K267" s="24"/>
      <c r="L267" s="24"/>
      <c r="M267" s="22"/>
      <c r="N267" s="22"/>
    </row>
    <row r="268" spans="1:14" ht="15.75" customHeight="1" x14ac:dyDescent="0.35">
      <c r="A268" s="33" t="str">
        <f>CONCATENATE("mldcat-ap-fair:","cell/",ROWS(A$11:A268))</f>
        <v>mldcat-ap-fair:cell/258</v>
      </c>
      <c r="B268" s="8" t="s">
        <v>24</v>
      </c>
      <c r="C268" s="38" t="s">
        <v>218</v>
      </c>
      <c r="D268" s="66" t="s">
        <v>783</v>
      </c>
      <c r="E268" s="38" t="s">
        <v>425</v>
      </c>
      <c r="F268" s="53"/>
      <c r="G268" s="56"/>
      <c r="H268" s="53"/>
      <c r="I268" s="57"/>
      <c r="J268" s="24"/>
      <c r="K268" s="24"/>
      <c r="L268" s="24"/>
      <c r="M268" s="22"/>
      <c r="N268" s="22"/>
    </row>
    <row r="269" spans="1:14" ht="15.75" customHeight="1" x14ac:dyDescent="0.35">
      <c r="A269" s="40" t="str">
        <f>CONCATENATE("mldcat-ap-fair:","cell/",ROWS(A$11:A269))</f>
        <v>mldcat-ap-fair:cell/259</v>
      </c>
      <c r="B269" s="8" t="s">
        <v>24</v>
      </c>
      <c r="C269" s="38" t="s">
        <v>219</v>
      </c>
      <c r="D269" s="66" t="s">
        <v>784</v>
      </c>
      <c r="E269" s="38" t="s">
        <v>426</v>
      </c>
      <c r="F269" s="30" t="s">
        <v>865</v>
      </c>
      <c r="G269" s="56" t="s">
        <v>866</v>
      </c>
      <c r="H269" s="56" t="s">
        <v>867</v>
      </c>
      <c r="I269" s="36" t="s">
        <v>55</v>
      </c>
      <c r="J269" s="54">
        <v>0.7</v>
      </c>
      <c r="K269" s="24" t="s">
        <v>73</v>
      </c>
      <c r="L269" s="24"/>
      <c r="M269" s="37" t="s">
        <v>868</v>
      </c>
      <c r="N269" s="22"/>
    </row>
    <row r="270" spans="1:14" ht="15.75" customHeight="1" x14ac:dyDescent="0.35">
      <c r="A270" s="33" t="str">
        <f>CONCATENATE("mldcat-ap-fair:","cell/",ROWS(A$11:A270))</f>
        <v>mldcat-ap-fair:cell/260</v>
      </c>
      <c r="B270" s="8" t="s">
        <v>24</v>
      </c>
      <c r="C270" s="38" t="s">
        <v>147</v>
      </c>
      <c r="D270" s="66" t="s">
        <v>785</v>
      </c>
      <c r="E270" s="38" t="s">
        <v>352</v>
      </c>
      <c r="F270" s="53"/>
      <c r="G270" s="56"/>
      <c r="H270" s="53"/>
      <c r="I270" s="57"/>
      <c r="J270" s="24"/>
      <c r="K270" s="24"/>
      <c r="L270" s="24"/>
      <c r="M270" s="22"/>
      <c r="N270" s="22"/>
    </row>
    <row r="271" spans="1:14" ht="15.75" customHeight="1" x14ac:dyDescent="0.35">
      <c r="A271" s="33" t="str">
        <f>CONCATENATE("mldcat-ap-fair:","cell/",ROWS(A$11:A271))</f>
        <v>mldcat-ap-fair:cell/261</v>
      </c>
      <c r="B271" s="8" t="s">
        <v>24</v>
      </c>
      <c r="C271" s="38" t="s">
        <v>220</v>
      </c>
      <c r="D271" s="66" t="s">
        <v>786</v>
      </c>
      <c r="E271" s="38" t="s">
        <v>427</v>
      </c>
      <c r="F271" s="53"/>
      <c r="G271" s="56"/>
      <c r="H271" s="53"/>
      <c r="I271" s="57"/>
      <c r="J271" s="24"/>
      <c r="K271" s="24"/>
      <c r="L271" s="24"/>
      <c r="M271" s="22"/>
      <c r="N271" s="22"/>
    </row>
    <row r="272" spans="1:14" ht="15.75" customHeight="1" x14ac:dyDescent="0.35">
      <c r="A272" s="33" t="str">
        <f>CONCATENATE("mldcat-ap-fair:","cell/",ROWS(A$11:A272))</f>
        <v>mldcat-ap-fair:cell/262</v>
      </c>
      <c r="B272" s="8" t="s">
        <v>24</v>
      </c>
      <c r="C272" s="38" t="s">
        <v>221</v>
      </c>
      <c r="D272" s="66" t="s">
        <v>787</v>
      </c>
      <c r="E272" s="38" t="s">
        <v>428</v>
      </c>
      <c r="F272" s="53"/>
      <c r="G272" s="56"/>
      <c r="H272" s="53"/>
      <c r="I272" s="57"/>
      <c r="J272" s="24"/>
      <c r="K272" s="24"/>
      <c r="L272" s="24"/>
      <c r="M272" s="22"/>
      <c r="N272" s="22"/>
    </row>
    <row r="273" spans="1:14" ht="15.75" customHeight="1" x14ac:dyDescent="0.35">
      <c r="A273" s="33" t="str">
        <f>CONCATENATE("mldcat-ap-fair:","cell/",ROWS(A$11:A273))</f>
        <v>mldcat-ap-fair:cell/263</v>
      </c>
      <c r="B273" s="8" t="s">
        <v>24</v>
      </c>
      <c r="C273" s="38" t="s">
        <v>186</v>
      </c>
      <c r="D273" s="66" t="s">
        <v>788</v>
      </c>
      <c r="E273" s="38" t="s">
        <v>392</v>
      </c>
      <c r="F273" s="53"/>
      <c r="G273" s="56"/>
      <c r="H273" s="53"/>
      <c r="I273" s="57"/>
      <c r="J273" s="24"/>
      <c r="K273" s="24"/>
      <c r="L273" s="24"/>
      <c r="M273" s="22"/>
      <c r="N273" s="22"/>
    </row>
    <row r="274" spans="1:14" ht="15.75" customHeight="1" x14ac:dyDescent="0.35">
      <c r="A274" s="33" t="str">
        <f>CONCATENATE("mldcat-ap-fair:","cell/",ROWS(A$11:A274))</f>
        <v>mldcat-ap-fair:cell/264</v>
      </c>
      <c r="B274" s="8" t="s">
        <v>24</v>
      </c>
      <c r="C274" s="38" t="s">
        <v>222</v>
      </c>
      <c r="D274" s="66" t="s">
        <v>789</v>
      </c>
      <c r="E274" s="38" t="s">
        <v>429</v>
      </c>
      <c r="F274" s="53"/>
      <c r="G274" s="56"/>
      <c r="H274" s="53"/>
      <c r="I274" s="57"/>
      <c r="J274" s="24"/>
      <c r="K274" s="24"/>
      <c r="L274" s="24"/>
      <c r="M274" s="22"/>
      <c r="N274" s="22"/>
    </row>
    <row r="275" spans="1:14" ht="15.75" customHeight="1" x14ac:dyDescent="0.35">
      <c r="A275" s="33" t="str">
        <f>CONCATENATE("mldcat-ap-fair:","cell/",ROWS(A$11:A275))</f>
        <v>mldcat-ap-fair:cell/265</v>
      </c>
      <c r="B275" s="8" t="s">
        <v>24</v>
      </c>
      <c r="C275" s="38" t="s">
        <v>123</v>
      </c>
      <c r="D275" s="66" t="s">
        <v>790</v>
      </c>
      <c r="E275" s="38" t="s">
        <v>329</v>
      </c>
      <c r="F275" s="53"/>
      <c r="G275" s="56"/>
      <c r="H275" s="53"/>
      <c r="I275" s="57"/>
      <c r="J275" s="24"/>
      <c r="K275" s="24"/>
      <c r="L275" s="24"/>
      <c r="M275" s="22"/>
      <c r="N275" s="22"/>
    </row>
    <row r="276" spans="1:14" ht="15.75" customHeight="1" x14ac:dyDescent="0.35">
      <c r="A276" s="33" t="str">
        <f>CONCATENATE("mldcat-ap-fair:","cell/",ROWS(A$11:A276))</f>
        <v>mldcat-ap-fair:cell/266</v>
      </c>
      <c r="B276" s="8" t="s">
        <v>24</v>
      </c>
      <c r="C276" s="38" t="s">
        <v>223</v>
      </c>
      <c r="D276" s="66" t="s">
        <v>791</v>
      </c>
      <c r="E276" s="38" t="s">
        <v>430</v>
      </c>
      <c r="F276" s="53"/>
      <c r="G276" s="56"/>
      <c r="H276" s="53"/>
      <c r="I276" s="57"/>
      <c r="J276" s="24"/>
      <c r="K276" s="24"/>
      <c r="L276" s="24"/>
      <c r="M276" s="22"/>
      <c r="N276" s="22"/>
    </row>
    <row r="277" spans="1:14" ht="15.75" customHeight="1" x14ac:dyDescent="0.35">
      <c r="A277" s="33" t="str">
        <f>CONCATENATE("mldcat-ap-fair:","cell/",ROWS(A$11:A277))</f>
        <v>mldcat-ap-fair:cell/267</v>
      </c>
      <c r="B277" s="8" t="s">
        <v>24</v>
      </c>
      <c r="C277" s="38" t="s">
        <v>224</v>
      </c>
      <c r="D277" s="66" t="s">
        <v>792</v>
      </c>
      <c r="E277" s="38" t="s">
        <v>431</v>
      </c>
      <c r="F277" s="53"/>
      <c r="G277" s="56"/>
      <c r="H277" s="53"/>
      <c r="I277" s="57"/>
      <c r="J277" s="24"/>
      <c r="K277" s="24"/>
      <c r="L277" s="24"/>
      <c r="M277" s="22"/>
      <c r="N277" s="22"/>
    </row>
    <row r="278" spans="1:14" ht="15.75" customHeight="1" x14ac:dyDescent="0.35">
      <c r="A278" s="33" t="str">
        <f>CONCATENATE("mldcat-ap-fair:","cell/",ROWS(A$11:A278))</f>
        <v>mldcat-ap-fair:cell/268</v>
      </c>
      <c r="B278" s="8" t="s">
        <v>24</v>
      </c>
      <c r="C278" s="38" t="s">
        <v>225</v>
      </c>
      <c r="D278" s="66" t="s">
        <v>793</v>
      </c>
      <c r="E278" s="38" t="s">
        <v>432</v>
      </c>
      <c r="F278" s="53"/>
      <c r="G278" s="56"/>
      <c r="H278" s="53"/>
      <c r="I278" s="57"/>
      <c r="J278" s="24"/>
      <c r="K278" s="24"/>
      <c r="L278" s="24"/>
      <c r="M278" s="22"/>
      <c r="N278" s="22"/>
    </row>
    <row r="279" spans="1:14" ht="15.75" customHeight="1" x14ac:dyDescent="0.35">
      <c r="A279" s="33" t="str">
        <f>CONCATENATE("mldcat-ap-fair:","cell/",ROWS(A$11:A279))</f>
        <v>mldcat-ap-fair:cell/269</v>
      </c>
      <c r="B279" s="8" t="s">
        <v>24</v>
      </c>
      <c r="C279" s="38" t="s">
        <v>61</v>
      </c>
      <c r="D279" s="66" t="s">
        <v>794</v>
      </c>
      <c r="E279" s="38" t="s">
        <v>260</v>
      </c>
      <c r="F279" s="53"/>
      <c r="G279" s="56"/>
      <c r="H279" s="53"/>
      <c r="I279" s="57"/>
      <c r="J279" s="24"/>
      <c r="K279" s="24"/>
      <c r="L279" s="24"/>
      <c r="M279" s="22"/>
      <c r="N279" s="22"/>
    </row>
    <row r="280" spans="1:14" ht="15.75" customHeight="1" x14ac:dyDescent="0.35">
      <c r="A280" s="33" t="str">
        <f>CONCATENATE("mldcat-ap-fair:","cell/",ROWS(A$11:A280))</f>
        <v>mldcat-ap-fair:cell/270</v>
      </c>
      <c r="B280" s="8" t="s">
        <v>24</v>
      </c>
      <c r="C280" s="38" t="s">
        <v>63</v>
      </c>
      <c r="D280" s="66" t="s">
        <v>795</v>
      </c>
      <c r="E280" s="38" t="s">
        <v>359</v>
      </c>
      <c r="F280" s="53"/>
      <c r="G280" s="56"/>
      <c r="H280" s="53"/>
      <c r="I280" s="57"/>
      <c r="J280" s="24"/>
      <c r="K280" s="24"/>
      <c r="L280" s="24"/>
      <c r="M280" s="22"/>
      <c r="N280" s="22"/>
    </row>
    <row r="281" spans="1:14" ht="15.75" customHeight="1" x14ac:dyDescent="0.35">
      <c r="A281" s="33" t="str">
        <f>CONCATENATE("mldcat-ap-fair:","cell/",ROWS(A$11:A281))</f>
        <v>mldcat-ap-fair:cell/271</v>
      </c>
      <c r="B281" s="8" t="s">
        <v>24</v>
      </c>
      <c r="C281" s="38" t="s">
        <v>71</v>
      </c>
      <c r="D281" s="66" t="s">
        <v>796</v>
      </c>
      <c r="E281" s="38" t="s">
        <v>266</v>
      </c>
      <c r="F281" s="53"/>
      <c r="G281" s="56"/>
      <c r="H281" s="53"/>
      <c r="I281" s="57"/>
      <c r="J281" s="24"/>
      <c r="K281" s="24"/>
      <c r="L281" s="24"/>
      <c r="M281" s="22"/>
      <c r="N281" s="22"/>
    </row>
    <row r="282" spans="1:14" ht="15.75" customHeight="1" x14ac:dyDescent="0.35">
      <c r="A282" s="33" t="str">
        <f>CONCATENATE("mldcat-ap-fair:","cell/",ROWS(A$11:A282))</f>
        <v>mldcat-ap-fair:cell/272</v>
      </c>
      <c r="B282" s="8" t="s">
        <v>24</v>
      </c>
      <c r="C282" s="38" t="s">
        <v>226</v>
      </c>
      <c r="D282" s="66" t="s">
        <v>797</v>
      </c>
      <c r="E282" s="38" t="s">
        <v>433</v>
      </c>
      <c r="F282" s="53"/>
      <c r="G282" s="56"/>
      <c r="H282" s="53"/>
      <c r="I282" s="57"/>
      <c r="J282" s="24"/>
      <c r="K282" s="24"/>
      <c r="L282" s="24"/>
      <c r="M282" s="22"/>
      <c r="N282" s="22"/>
    </row>
    <row r="283" spans="1:14" ht="15.75" customHeight="1" x14ac:dyDescent="0.35">
      <c r="A283" s="33" t="str">
        <f>CONCATENATE("mldcat-ap-fair:","cell/",ROWS(A$11:A283))</f>
        <v>mldcat-ap-fair:cell/273</v>
      </c>
      <c r="B283" s="8" t="s">
        <v>24</v>
      </c>
      <c r="C283" s="38" t="s">
        <v>227</v>
      </c>
      <c r="D283" s="66" t="s">
        <v>798</v>
      </c>
      <c r="E283" s="38" t="s">
        <v>434</v>
      </c>
      <c r="F283" s="53"/>
      <c r="G283" s="56"/>
      <c r="H283" s="53"/>
      <c r="I283" s="57"/>
      <c r="J283" s="24"/>
      <c r="K283" s="24"/>
      <c r="L283" s="24"/>
      <c r="M283" s="22"/>
      <c r="N283" s="22"/>
    </row>
    <row r="284" spans="1:14" ht="15.75" customHeight="1" x14ac:dyDescent="0.35">
      <c r="A284" s="33" t="str">
        <f>CONCATENATE("mldcat-ap-fair:","cell/",ROWS(A$11:A284))</f>
        <v>mldcat-ap-fair:cell/274</v>
      </c>
      <c r="B284" s="8" t="s">
        <v>24</v>
      </c>
      <c r="C284" s="38" t="s">
        <v>63</v>
      </c>
      <c r="D284" s="66" t="s">
        <v>799</v>
      </c>
      <c r="E284" s="38" t="s">
        <v>359</v>
      </c>
      <c r="F284" s="53"/>
      <c r="G284" s="56"/>
      <c r="H284" s="53"/>
      <c r="I284" s="57"/>
      <c r="J284" s="24"/>
      <c r="K284" s="24"/>
      <c r="L284" s="24"/>
      <c r="M284" s="22"/>
      <c r="N284" s="22"/>
    </row>
    <row r="285" spans="1:14" ht="15.75" customHeight="1" x14ac:dyDescent="0.35">
      <c r="A285" s="33" t="str">
        <f>CONCATENATE("mldcat-ap-fair:","cell/",ROWS(A$11:A285))</f>
        <v>mldcat-ap-fair:cell/275</v>
      </c>
      <c r="B285" s="8" t="s">
        <v>24</v>
      </c>
      <c r="C285" s="38" t="s">
        <v>67</v>
      </c>
      <c r="D285" s="66" t="s">
        <v>800</v>
      </c>
      <c r="E285" s="38" t="s">
        <v>263</v>
      </c>
      <c r="F285" s="53"/>
      <c r="G285" s="56"/>
      <c r="H285" s="53"/>
      <c r="I285" s="57"/>
      <c r="J285" s="24"/>
      <c r="K285" s="24"/>
      <c r="L285" s="24"/>
      <c r="M285" s="22"/>
      <c r="N285" s="22"/>
    </row>
    <row r="286" spans="1:14" ht="15.75" customHeight="1" x14ac:dyDescent="0.35">
      <c r="A286" s="33" t="str">
        <f>CONCATENATE("mldcat-ap-fair:","cell/",ROWS(A$11:A286))</f>
        <v>mldcat-ap-fair:cell/276</v>
      </c>
      <c r="B286" s="8" t="s">
        <v>24</v>
      </c>
      <c r="C286" s="38" t="s">
        <v>71</v>
      </c>
      <c r="D286" s="66" t="s">
        <v>801</v>
      </c>
      <c r="E286" s="38" t="s">
        <v>266</v>
      </c>
      <c r="F286" s="53"/>
      <c r="G286" s="56"/>
      <c r="H286" s="53"/>
      <c r="I286" s="57"/>
      <c r="J286" s="24"/>
      <c r="K286" s="24"/>
      <c r="L286" s="24"/>
      <c r="M286" s="22"/>
      <c r="N286" s="22"/>
    </row>
    <row r="287" spans="1:14" ht="15.75" customHeight="1" x14ac:dyDescent="0.35">
      <c r="A287" s="33" t="str">
        <f>CONCATENATE("mldcat-ap-fair:","cell/",ROWS(A$11:A287))</f>
        <v>mldcat-ap-fair:cell/277</v>
      </c>
      <c r="B287" s="8" t="s">
        <v>24</v>
      </c>
      <c r="C287" s="38" t="s">
        <v>228</v>
      </c>
      <c r="D287" s="66" t="s">
        <v>802</v>
      </c>
      <c r="E287" s="38" t="s">
        <v>435</v>
      </c>
      <c r="F287" s="53"/>
      <c r="G287" s="56"/>
      <c r="H287" s="53"/>
      <c r="I287" s="57"/>
      <c r="J287" s="24"/>
      <c r="K287" s="24"/>
      <c r="L287" s="24"/>
      <c r="M287" s="22"/>
      <c r="N287" s="22"/>
    </row>
    <row r="288" spans="1:14" ht="15.75" customHeight="1" x14ac:dyDescent="0.35">
      <c r="A288" s="33" t="str">
        <f>CONCATENATE("mldcat-ap-fair:","cell/",ROWS(A$11:A288))</f>
        <v>mldcat-ap-fair:cell/278</v>
      </c>
      <c r="B288" s="8" t="s">
        <v>24</v>
      </c>
      <c r="C288" s="38" t="s">
        <v>229</v>
      </c>
      <c r="D288" s="66" t="s">
        <v>803</v>
      </c>
      <c r="E288" s="38" t="s">
        <v>436</v>
      </c>
      <c r="F288" s="53"/>
      <c r="G288" s="56"/>
      <c r="H288" s="53"/>
      <c r="I288" s="57"/>
      <c r="J288" s="24"/>
      <c r="K288" s="24"/>
      <c r="L288" s="24"/>
      <c r="M288" s="22"/>
      <c r="N288" s="22"/>
    </row>
    <row r="289" spans="1:14" ht="15.75" customHeight="1" x14ac:dyDescent="0.35">
      <c r="A289" s="33" t="str">
        <f>CONCATENATE("mldcat-ap-fair:","cell/",ROWS(A$11:A289))</f>
        <v>mldcat-ap-fair:cell/279</v>
      </c>
      <c r="B289" s="8" t="s">
        <v>24</v>
      </c>
      <c r="C289" s="38" t="s">
        <v>230</v>
      </c>
      <c r="D289" s="66" t="s">
        <v>804</v>
      </c>
      <c r="E289" s="38" t="s">
        <v>437</v>
      </c>
      <c r="F289" s="53"/>
      <c r="G289" s="56"/>
      <c r="H289" s="53"/>
      <c r="I289" s="57"/>
      <c r="J289" s="24"/>
      <c r="K289" s="24"/>
      <c r="L289" s="24"/>
      <c r="M289" s="22"/>
      <c r="N289" s="22"/>
    </row>
    <row r="290" spans="1:14" ht="15.75" customHeight="1" x14ac:dyDescent="0.35">
      <c r="A290" s="33" t="str">
        <f>CONCATENATE("mldcat-ap-fair:","cell/",ROWS(A$11:A290))</f>
        <v>mldcat-ap-fair:cell/280</v>
      </c>
      <c r="B290" s="8" t="s">
        <v>24</v>
      </c>
      <c r="C290" s="38" t="s">
        <v>231</v>
      </c>
      <c r="D290" s="66" t="s">
        <v>805</v>
      </c>
      <c r="E290" s="38" t="s">
        <v>438</v>
      </c>
      <c r="F290" s="53"/>
      <c r="G290" s="56"/>
      <c r="H290" s="53"/>
      <c r="I290" s="57"/>
      <c r="J290" s="24"/>
      <c r="K290" s="24"/>
      <c r="L290" s="24"/>
      <c r="M290" s="22"/>
      <c r="N290" s="22"/>
    </row>
    <row r="291" spans="1:14" ht="15.75" customHeight="1" x14ac:dyDescent="0.35">
      <c r="A291" s="33" t="str">
        <f>CONCATENATE("mldcat-ap-fair:","cell/",ROWS(A$11:A291))</f>
        <v>mldcat-ap-fair:cell/281</v>
      </c>
      <c r="B291" s="8" t="s">
        <v>24</v>
      </c>
      <c r="C291" s="38" t="s">
        <v>232</v>
      </c>
      <c r="D291" s="66" t="s">
        <v>806</v>
      </c>
      <c r="E291" s="38" t="s">
        <v>439</v>
      </c>
      <c r="F291" s="53"/>
      <c r="G291" s="56"/>
      <c r="H291" s="53"/>
      <c r="I291" s="57"/>
      <c r="J291" s="24"/>
      <c r="K291" s="24"/>
      <c r="L291" s="24"/>
      <c r="M291" s="22"/>
      <c r="N291" s="22"/>
    </row>
    <row r="292" spans="1:14" ht="15.75" customHeight="1" x14ac:dyDescent="0.35">
      <c r="A292" s="33" t="str">
        <f>CONCATENATE("mldcat-ap-fair:","cell/",ROWS(A$11:A292))</f>
        <v>mldcat-ap-fair:cell/282</v>
      </c>
      <c r="B292" s="8" t="s">
        <v>24</v>
      </c>
      <c r="C292" s="38" t="s">
        <v>233</v>
      </c>
      <c r="D292" s="66" t="s">
        <v>807</v>
      </c>
      <c r="E292" s="38" t="s">
        <v>440</v>
      </c>
      <c r="F292" s="53"/>
      <c r="G292" s="56"/>
      <c r="H292" s="53"/>
      <c r="I292" s="57"/>
      <c r="J292" s="24"/>
      <c r="K292" s="24"/>
      <c r="L292" s="24"/>
      <c r="M292" s="22"/>
      <c r="N292" s="22"/>
    </row>
    <row r="293" spans="1:14" ht="15.75" customHeight="1" x14ac:dyDescent="0.35">
      <c r="A293" s="33" t="str">
        <f>CONCATENATE("mldcat-ap-fair:","cell/",ROWS(A$11:A293))</f>
        <v>mldcat-ap-fair:cell/283</v>
      </c>
      <c r="B293" s="8" t="s">
        <v>24</v>
      </c>
      <c r="C293" s="38" t="s">
        <v>234</v>
      </c>
      <c r="D293" s="66" t="s">
        <v>808</v>
      </c>
      <c r="E293" s="38" t="s">
        <v>441</v>
      </c>
      <c r="F293" s="53"/>
      <c r="G293" s="56"/>
      <c r="H293" s="53"/>
      <c r="I293" s="57"/>
      <c r="J293" s="24"/>
      <c r="K293" s="24"/>
      <c r="L293" s="24"/>
      <c r="M293" s="22"/>
      <c r="N293" s="22"/>
    </row>
    <row r="294" spans="1:14" ht="15.75" customHeight="1" x14ac:dyDescent="0.35">
      <c r="A294" s="33" t="str">
        <f>CONCATENATE("mldcat-ap-fair:","cell/",ROWS(A$11:A294))</f>
        <v>mldcat-ap-fair:cell/284</v>
      </c>
      <c r="B294" s="8" t="s">
        <v>24</v>
      </c>
      <c r="C294" s="38" t="s">
        <v>235</v>
      </c>
      <c r="D294" s="66" t="s">
        <v>809</v>
      </c>
      <c r="E294" s="38" t="s">
        <v>442</v>
      </c>
      <c r="F294" s="53"/>
      <c r="G294" s="56"/>
      <c r="H294" s="53"/>
      <c r="I294" s="57"/>
      <c r="J294" s="24"/>
      <c r="K294" s="24"/>
      <c r="L294" s="24"/>
      <c r="M294" s="22"/>
      <c r="N294" s="22"/>
    </row>
    <row r="295" spans="1:14" ht="15.75" customHeight="1" x14ac:dyDescent="0.35">
      <c r="A295" s="33" t="str">
        <f>CONCATENATE("mldcat-ap-fair:","cell/",ROWS(A$11:A295))</f>
        <v>mldcat-ap-fair:cell/285</v>
      </c>
      <c r="B295" s="8" t="s">
        <v>24</v>
      </c>
      <c r="C295" s="38" t="s">
        <v>222</v>
      </c>
      <c r="D295" s="66" t="s">
        <v>810</v>
      </c>
      <c r="E295" s="38" t="s">
        <v>429</v>
      </c>
      <c r="F295" s="53"/>
      <c r="G295" s="56"/>
      <c r="H295" s="53"/>
      <c r="I295" s="57"/>
      <c r="J295" s="24"/>
      <c r="K295" s="24"/>
      <c r="L295" s="24"/>
      <c r="M295" s="22"/>
      <c r="N295" s="22"/>
    </row>
    <row r="296" spans="1:14" ht="15.75" customHeight="1" x14ac:dyDescent="0.35">
      <c r="A296" s="33" t="str">
        <f>CONCATENATE("mldcat-ap-fair:","cell/",ROWS(A$11:A296))</f>
        <v>mldcat-ap-fair:cell/286</v>
      </c>
      <c r="B296" s="8" t="s">
        <v>24</v>
      </c>
      <c r="C296" s="38" t="s">
        <v>236</v>
      </c>
      <c r="D296" s="66" t="s">
        <v>811</v>
      </c>
      <c r="E296" s="38" t="s">
        <v>443</v>
      </c>
      <c r="F296" s="53"/>
      <c r="G296" s="56"/>
      <c r="H296" s="53"/>
      <c r="I296" s="57"/>
      <c r="J296" s="24"/>
      <c r="K296" s="24"/>
      <c r="L296" s="24"/>
      <c r="M296" s="22"/>
      <c r="N296" s="22"/>
    </row>
    <row r="297" spans="1:14" ht="15.75" customHeight="1" x14ac:dyDescent="0.35">
      <c r="A297" s="33" t="str">
        <f>CONCATENATE("mldcat-ap-fair:","cell/",ROWS(A$11:A297))</f>
        <v>mldcat-ap-fair:cell/287</v>
      </c>
      <c r="B297" s="8" t="s">
        <v>24</v>
      </c>
      <c r="C297" s="38" t="s">
        <v>237</v>
      </c>
      <c r="D297" s="66" t="s">
        <v>812</v>
      </c>
      <c r="E297" s="38" t="s">
        <v>260</v>
      </c>
      <c r="F297" s="53"/>
      <c r="G297" s="56"/>
      <c r="H297" s="53"/>
      <c r="I297" s="57"/>
      <c r="J297" s="24"/>
      <c r="K297" s="24"/>
      <c r="L297" s="24"/>
      <c r="M297" s="22"/>
      <c r="N297" s="22"/>
    </row>
    <row r="298" spans="1:14" ht="15.75" customHeight="1" x14ac:dyDescent="0.35">
      <c r="A298" s="33" t="str">
        <f>CONCATENATE("mldcat-ap-fair:","cell/",ROWS(A$11:A298))</f>
        <v>mldcat-ap-fair:cell/288</v>
      </c>
      <c r="B298" s="8" t="s">
        <v>24</v>
      </c>
      <c r="C298" s="38" t="s">
        <v>63</v>
      </c>
      <c r="D298" s="66" t="s">
        <v>813</v>
      </c>
      <c r="E298" s="38" t="s">
        <v>359</v>
      </c>
      <c r="F298" s="53"/>
      <c r="G298" s="56"/>
      <c r="H298" s="53"/>
      <c r="I298" s="57"/>
      <c r="J298" s="24"/>
      <c r="K298" s="24"/>
      <c r="L298" s="24"/>
      <c r="M298" s="22"/>
      <c r="N298" s="22"/>
    </row>
    <row r="299" spans="1:14" ht="15.75" customHeight="1" x14ac:dyDescent="0.35">
      <c r="A299" s="33" t="str">
        <f>CONCATENATE("mldcat-ap-fair:","cell/",ROWS(A$11:A299))</f>
        <v>mldcat-ap-fair:cell/289</v>
      </c>
      <c r="B299" s="8" t="s">
        <v>24</v>
      </c>
      <c r="C299" s="38" t="s">
        <v>71</v>
      </c>
      <c r="D299" s="66" t="s">
        <v>814</v>
      </c>
      <c r="E299" s="38" t="s">
        <v>266</v>
      </c>
      <c r="F299" s="53"/>
      <c r="G299" s="56"/>
      <c r="H299" s="53"/>
      <c r="I299" s="57"/>
      <c r="J299" s="24"/>
      <c r="K299" s="24"/>
      <c r="L299" s="24"/>
      <c r="M299" s="22"/>
      <c r="N299" s="22"/>
    </row>
    <row r="300" spans="1:14" ht="15.75" customHeight="1" x14ac:dyDescent="0.35">
      <c r="A300" s="33" t="str">
        <f>CONCATENATE("mldcat-ap-fair:","cell/",ROWS(A$11:A300))</f>
        <v>mldcat-ap-fair:cell/290</v>
      </c>
      <c r="B300" s="8" t="s">
        <v>24</v>
      </c>
      <c r="C300" s="38" t="s">
        <v>36</v>
      </c>
      <c r="D300" s="66" t="s">
        <v>815</v>
      </c>
      <c r="E300" s="38" t="s">
        <v>444</v>
      </c>
      <c r="F300" s="53"/>
      <c r="G300" s="56"/>
      <c r="H300" s="53"/>
      <c r="I300" s="57"/>
      <c r="J300" s="24"/>
      <c r="K300" s="24"/>
      <c r="L300" s="24"/>
      <c r="M300" s="22"/>
      <c r="N300" s="22"/>
    </row>
    <row r="301" spans="1:14" ht="15.75" customHeight="1" x14ac:dyDescent="0.35">
      <c r="A301" s="33" t="str">
        <f>CONCATENATE("mldcat-ap-fair:","cell/",ROWS(A$11:A301))</f>
        <v>mldcat-ap-fair:cell/291</v>
      </c>
      <c r="B301" s="8" t="s">
        <v>24</v>
      </c>
      <c r="C301" s="38" t="s">
        <v>238</v>
      </c>
      <c r="D301" s="66" t="s">
        <v>816</v>
      </c>
      <c r="E301" s="38" t="s">
        <v>445</v>
      </c>
      <c r="F301" s="53"/>
      <c r="G301" s="56"/>
      <c r="H301" s="53"/>
      <c r="I301" s="57"/>
      <c r="J301" s="24"/>
      <c r="K301" s="24"/>
      <c r="L301" s="24"/>
      <c r="M301" s="22"/>
      <c r="N301" s="22"/>
    </row>
    <row r="302" spans="1:14" ht="15.75" customHeight="1" x14ac:dyDescent="0.35">
      <c r="A302" s="33" t="str">
        <f>CONCATENATE("mldcat-ap-fair:","cell/",ROWS(A$11:A302))</f>
        <v>mldcat-ap-fair:cell/292</v>
      </c>
      <c r="B302" s="8" t="s">
        <v>24</v>
      </c>
      <c r="C302" s="38" t="s">
        <v>239</v>
      </c>
      <c r="D302" s="66" t="s">
        <v>817</v>
      </c>
      <c r="E302" s="38" t="s">
        <v>446</v>
      </c>
      <c r="F302" s="53"/>
      <c r="G302" s="56"/>
      <c r="H302" s="53"/>
      <c r="I302" s="57"/>
      <c r="J302" s="24"/>
      <c r="K302" s="24"/>
      <c r="L302" s="24"/>
      <c r="M302" s="22"/>
      <c r="N302" s="22"/>
    </row>
    <row r="303" spans="1:14" ht="15.75" customHeight="1" x14ac:dyDescent="0.35">
      <c r="A303" s="33" t="str">
        <f>CONCATENATE("mldcat-ap-fair:","cell/",ROWS(A$11:A303))</f>
        <v>mldcat-ap-fair:cell/293</v>
      </c>
      <c r="B303" s="8" t="s">
        <v>24</v>
      </c>
      <c r="C303" s="38" t="s">
        <v>240</v>
      </c>
      <c r="D303" s="66" t="s">
        <v>818</v>
      </c>
      <c r="E303" s="38" t="s">
        <v>447</v>
      </c>
      <c r="F303" s="53"/>
      <c r="G303" s="56"/>
      <c r="H303" s="53"/>
      <c r="I303" s="57"/>
      <c r="J303" s="24"/>
      <c r="K303" s="24"/>
      <c r="L303" s="24"/>
      <c r="M303" s="22"/>
      <c r="N303" s="22"/>
    </row>
    <row r="304" spans="1:14" ht="15.75" customHeight="1" x14ac:dyDescent="0.35">
      <c r="A304" s="33" t="str">
        <f>CONCATENATE("mldcat-ap-fair:","cell/",ROWS(A$11:A304))</f>
        <v>mldcat-ap-fair:cell/294</v>
      </c>
      <c r="B304" s="8" t="s">
        <v>24</v>
      </c>
      <c r="C304" s="38" t="s">
        <v>241</v>
      </c>
      <c r="D304" s="66" t="s">
        <v>819</v>
      </c>
      <c r="E304" s="38" t="s">
        <v>448</v>
      </c>
      <c r="F304" s="53"/>
      <c r="G304" s="56"/>
      <c r="H304" s="53"/>
      <c r="I304" s="57"/>
      <c r="J304" s="24"/>
      <c r="K304" s="24"/>
      <c r="L304" s="24"/>
      <c r="M304" s="22"/>
      <c r="N304" s="22"/>
    </row>
    <row r="305" spans="1:14" ht="15.75" customHeight="1" x14ac:dyDescent="0.35">
      <c r="A305" s="33" t="str">
        <f>CONCATENATE("mldcat-ap-fair:","cell/",ROWS(A$11:A305))</f>
        <v>mldcat-ap-fair:cell/295</v>
      </c>
      <c r="B305" s="8" t="s">
        <v>24</v>
      </c>
      <c r="C305" s="38" t="s">
        <v>71</v>
      </c>
      <c r="D305" s="66" t="s">
        <v>820</v>
      </c>
      <c r="E305" s="38" t="s">
        <v>266</v>
      </c>
      <c r="F305" s="53"/>
      <c r="G305" s="56"/>
      <c r="H305" s="53"/>
      <c r="I305" s="57"/>
      <c r="J305" s="24"/>
      <c r="K305" s="24"/>
      <c r="L305" s="24"/>
      <c r="M305" s="22"/>
      <c r="N305" s="22"/>
    </row>
    <row r="306" spans="1:14" ht="15.75" customHeight="1" x14ac:dyDescent="0.35">
      <c r="A306" s="33" t="str">
        <f>CONCATENATE("mldcat-ap-fair:","cell/",ROWS(A$11:A306))</f>
        <v>mldcat-ap-fair:cell/296</v>
      </c>
      <c r="B306" s="8" t="s">
        <v>24</v>
      </c>
      <c r="C306" s="38" t="s">
        <v>60</v>
      </c>
      <c r="D306" s="66" t="s">
        <v>821</v>
      </c>
      <c r="E306" s="38" t="s">
        <v>267</v>
      </c>
      <c r="F306" s="53"/>
      <c r="G306" s="56"/>
      <c r="H306" s="53"/>
      <c r="I306" s="57"/>
      <c r="J306" s="24"/>
      <c r="K306" s="24"/>
      <c r="L306" s="24"/>
      <c r="M306" s="22"/>
      <c r="N306" s="22"/>
    </row>
    <row r="307" spans="1:14" ht="15.75" customHeight="1" x14ac:dyDescent="0.35">
      <c r="A307" s="33" t="str">
        <f>CONCATENATE("mldcat-ap-fair:","cell/",ROWS(A$11:A307))</f>
        <v>mldcat-ap-fair:cell/297</v>
      </c>
      <c r="B307" s="8" t="s">
        <v>24</v>
      </c>
      <c r="C307" s="38" t="s">
        <v>242</v>
      </c>
      <c r="D307" s="66" t="s">
        <v>822</v>
      </c>
      <c r="E307" s="38" t="s">
        <v>449</v>
      </c>
      <c r="F307" s="53"/>
      <c r="G307" s="56"/>
      <c r="H307" s="53"/>
      <c r="I307" s="57"/>
      <c r="J307" s="24"/>
      <c r="K307" s="24"/>
      <c r="L307" s="24"/>
      <c r="M307" s="22"/>
      <c r="N307" s="22"/>
    </row>
    <row r="308" spans="1:14" ht="15.75" customHeight="1" x14ac:dyDescent="0.35">
      <c r="A308" s="33" t="str">
        <f>CONCATENATE("mldcat-ap-fair:","cell/",ROWS(A$11:A308))</f>
        <v>mldcat-ap-fair:cell/298</v>
      </c>
      <c r="B308" s="8" t="s">
        <v>24</v>
      </c>
      <c r="C308" s="38" t="s">
        <v>243</v>
      </c>
      <c r="D308" s="66" t="s">
        <v>823</v>
      </c>
      <c r="E308" s="38" t="s">
        <v>396</v>
      </c>
      <c r="F308" s="53"/>
      <c r="G308" s="56"/>
      <c r="H308" s="53"/>
      <c r="I308" s="57"/>
      <c r="J308" s="24"/>
      <c r="K308" s="24"/>
      <c r="L308" s="24"/>
      <c r="M308" s="22"/>
      <c r="N308" s="22"/>
    </row>
    <row r="309" spans="1:14" ht="15.75" customHeight="1" x14ac:dyDescent="0.35">
      <c r="A309" s="33" t="str">
        <f>CONCATENATE("mldcat-ap-fair:","cell/",ROWS(A$11:A309))</f>
        <v>mldcat-ap-fair:cell/299</v>
      </c>
      <c r="B309" s="8" t="s">
        <v>24</v>
      </c>
      <c r="C309" s="38" t="s">
        <v>90</v>
      </c>
      <c r="D309" s="66" t="s">
        <v>824</v>
      </c>
      <c r="E309" s="38" t="s">
        <v>257</v>
      </c>
      <c r="F309" s="53"/>
      <c r="G309" s="56"/>
      <c r="H309" s="53"/>
      <c r="I309" s="57"/>
      <c r="J309" s="24"/>
      <c r="K309" s="24"/>
      <c r="L309" s="24"/>
      <c r="M309" s="22"/>
      <c r="N309" s="22"/>
    </row>
    <row r="310" spans="1:14" ht="15.75" customHeight="1" x14ac:dyDescent="0.35">
      <c r="A310" s="33" t="str">
        <f>CONCATENATE("mldcat-ap-fair:","cell/",ROWS(A$11:A310))</f>
        <v>mldcat-ap-fair:cell/300</v>
      </c>
      <c r="B310" s="8" t="s">
        <v>24</v>
      </c>
      <c r="C310" s="38" t="s">
        <v>52</v>
      </c>
      <c r="D310" s="66" t="s">
        <v>825</v>
      </c>
      <c r="E310" s="38" t="s">
        <v>450</v>
      </c>
      <c r="F310" s="53"/>
      <c r="G310" s="56"/>
      <c r="H310" s="53"/>
      <c r="I310" s="57"/>
      <c r="J310" s="24"/>
      <c r="K310" s="24"/>
      <c r="L310" s="24"/>
      <c r="M310" s="22"/>
      <c r="N310" s="22"/>
    </row>
    <row r="311" spans="1:14" ht="15.75" customHeight="1" x14ac:dyDescent="0.35">
      <c r="A311" s="33" t="str">
        <f>CONCATENATE("mldcat-ap-fair:","cell/",ROWS(A$11:A311))</f>
        <v>mldcat-ap-fair:cell/301</v>
      </c>
      <c r="B311" s="8" t="s">
        <v>24</v>
      </c>
      <c r="C311" s="38" t="s">
        <v>71</v>
      </c>
      <c r="D311" s="66" t="s">
        <v>826</v>
      </c>
      <c r="E311" s="38" t="s">
        <v>324</v>
      </c>
      <c r="F311" s="53"/>
      <c r="G311" s="56"/>
      <c r="H311" s="53"/>
      <c r="I311" s="57"/>
      <c r="J311" s="24"/>
      <c r="K311" s="24"/>
      <c r="L311" s="24"/>
      <c r="M311" s="22"/>
      <c r="N311" s="22"/>
    </row>
    <row r="312" spans="1:14" ht="15.75" customHeight="1" x14ac:dyDescent="0.35">
      <c r="A312" s="33" t="str">
        <f>CONCATENATE("mldcat-ap-fair:","cell/",ROWS(A$11:A312))</f>
        <v>mldcat-ap-fair:cell/302</v>
      </c>
      <c r="B312" s="8" t="s">
        <v>24</v>
      </c>
      <c r="C312" s="38" t="s">
        <v>244</v>
      </c>
      <c r="D312" s="66" t="s">
        <v>827</v>
      </c>
      <c r="E312" s="38" t="s">
        <v>451</v>
      </c>
      <c r="F312" s="53"/>
      <c r="G312" s="56"/>
      <c r="H312" s="53"/>
      <c r="I312" s="57"/>
      <c r="J312" s="24"/>
      <c r="K312" s="24"/>
      <c r="L312" s="24"/>
      <c r="M312" s="22"/>
      <c r="N312" s="22"/>
    </row>
    <row r="313" spans="1:14" ht="15.75" customHeight="1" x14ac:dyDescent="0.35">
      <c r="A313" s="33" t="str">
        <f>CONCATENATE("mldcat-ap-fair:","cell/",ROWS(A$11:A313))</f>
        <v>mldcat-ap-fair:cell/303</v>
      </c>
      <c r="B313" s="8" t="s">
        <v>24</v>
      </c>
      <c r="C313" s="38" t="s">
        <v>32</v>
      </c>
      <c r="D313" s="66" t="s">
        <v>828</v>
      </c>
      <c r="E313" s="38" t="s">
        <v>452</v>
      </c>
      <c r="F313" s="53"/>
      <c r="G313" s="56"/>
      <c r="H313" s="53"/>
      <c r="I313" s="57"/>
      <c r="J313" s="24"/>
      <c r="K313" s="24"/>
      <c r="L313" s="24"/>
      <c r="M313" s="22"/>
      <c r="N313" s="22"/>
    </row>
    <row r="314" spans="1:14" ht="15.75" customHeight="1" x14ac:dyDescent="0.35">
      <c r="A314" s="33" t="str">
        <f>CONCATENATE("mldcat-ap-fair:","cell/",ROWS(A$11:A314))</f>
        <v>mldcat-ap-fair:cell/304</v>
      </c>
      <c r="B314" s="8" t="s">
        <v>24</v>
      </c>
      <c r="C314" s="38" t="s">
        <v>245</v>
      </c>
      <c r="D314" s="66" t="s">
        <v>829</v>
      </c>
      <c r="E314" s="38" t="s">
        <v>453</v>
      </c>
      <c r="F314" s="53"/>
      <c r="G314" s="56"/>
      <c r="H314" s="53"/>
      <c r="I314" s="57"/>
      <c r="J314" s="24"/>
      <c r="K314" s="24"/>
      <c r="L314" s="24"/>
      <c r="M314" s="22"/>
      <c r="N314" s="22"/>
    </row>
    <row r="315" spans="1:14" ht="15.75" customHeight="1" x14ac:dyDescent="0.35">
      <c r="A315" s="33" t="str">
        <f>CONCATENATE("mldcat-ap-fair:","cell/",ROWS(A$11:A315))</f>
        <v>mldcat-ap-fair:cell/305</v>
      </c>
      <c r="B315" s="8" t="s">
        <v>24</v>
      </c>
      <c r="C315" s="38" t="s">
        <v>246</v>
      </c>
      <c r="D315" s="66" t="s">
        <v>830</v>
      </c>
      <c r="E315" s="38" t="s">
        <v>454</v>
      </c>
      <c r="F315" s="53"/>
      <c r="G315" s="56"/>
      <c r="H315" s="53"/>
      <c r="I315" s="57"/>
      <c r="J315" s="24"/>
      <c r="K315" s="24"/>
      <c r="L315" s="24"/>
      <c r="M315" s="22"/>
      <c r="N315" s="22"/>
    </row>
    <row r="316" spans="1:14" ht="15.75" customHeight="1" x14ac:dyDescent="0.35">
      <c r="A316" s="33" t="str">
        <f>CONCATENATE("mldcat-ap-fair:","cell/",ROWS(A$11:A316))</f>
        <v>mldcat-ap-fair:cell/306</v>
      </c>
      <c r="B316" s="8" t="s">
        <v>24</v>
      </c>
      <c r="C316" s="38" t="s">
        <v>50</v>
      </c>
      <c r="D316" s="66" t="s">
        <v>831</v>
      </c>
      <c r="E316" s="38" t="s">
        <v>455</v>
      </c>
      <c r="F316" s="53"/>
      <c r="G316" s="56"/>
      <c r="H316" s="53"/>
      <c r="I316" s="57"/>
      <c r="J316" s="24"/>
      <c r="K316" s="24"/>
      <c r="L316" s="24"/>
      <c r="M316" s="22"/>
      <c r="N316" s="22"/>
    </row>
    <row r="317" spans="1:14" ht="15.75" customHeight="1" x14ac:dyDescent="0.35">
      <c r="A317" s="33" t="str">
        <f>CONCATENATE("mldcat-ap-fair:","cell/",ROWS(A$11:A317))</f>
        <v>mldcat-ap-fair:cell/307</v>
      </c>
      <c r="B317" s="8" t="s">
        <v>24</v>
      </c>
      <c r="C317" s="38" t="s">
        <v>53</v>
      </c>
      <c r="D317" s="66" t="s">
        <v>832</v>
      </c>
      <c r="E317" s="38" t="s">
        <v>456</v>
      </c>
      <c r="F317" s="53"/>
      <c r="G317" s="56"/>
      <c r="H317" s="53"/>
      <c r="I317" s="57"/>
      <c r="J317" s="24"/>
      <c r="K317" s="24"/>
      <c r="L317" s="24"/>
      <c r="M317" s="22"/>
      <c r="N317" s="22"/>
    </row>
    <row r="318" spans="1:14" ht="15.75" customHeight="1" x14ac:dyDescent="0.35">
      <c r="A318" s="33" t="str">
        <f>CONCATENATE("mldcat-ap-fair:","cell/",ROWS(A$11:A318))</f>
        <v>mldcat-ap-fair:cell/308</v>
      </c>
      <c r="B318" s="8" t="s">
        <v>24</v>
      </c>
      <c r="C318" s="38" t="s">
        <v>43</v>
      </c>
      <c r="D318" s="66" t="s">
        <v>833</v>
      </c>
      <c r="E318" s="38" t="s">
        <v>457</v>
      </c>
      <c r="F318" s="53"/>
      <c r="G318" s="56"/>
      <c r="H318" s="53"/>
      <c r="I318" s="57"/>
      <c r="J318" s="24"/>
      <c r="K318" s="24"/>
      <c r="L318" s="24"/>
      <c r="M318" s="22"/>
      <c r="N318" s="22"/>
    </row>
    <row r="319" spans="1:14" ht="15.75" customHeight="1" x14ac:dyDescent="0.35">
      <c r="A319" s="33" t="str">
        <f>CONCATENATE("mldcat-ap-fair:","cell/",ROWS(A$11:A319))</f>
        <v>mldcat-ap-fair:cell/309</v>
      </c>
      <c r="B319" s="8" t="s">
        <v>24</v>
      </c>
      <c r="C319" s="38" t="s">
        <v>41</v>
      </c>
      <c r="D319" s="66" t="s">
        <v>834</v>
      </c>
      <c r="E319" s="38" t="s">
        <v>458</v>
      </c>
      <c r="F319" s="53"/>
      <c r="G319" s="56"/>
      <c r="H319" s="53"/>
      <c r="I319" s="57"/>
      <c r="J319" s="24"/>
      <c r="K319" s="24"/>
      <c r="L319" s="24"/>
      <c r="M319" s="22"/>
      <c r="N319" s="22"/>
    </row>
    <row r="320" spans="1:14" ht="15.75" customHeight="1" x14ac:dyDescent="0.35">
      <c r="A320" s="33" t="str">
        <f>CONCATENATE("mldcat-ap-fair:","cell/",ROWS(A$11:A320))</f>
        <v>mldcat-ap-fair:cell/310</v>
      </c>
      <c r="B320" s="8" t="s">
        <v>24</v>
      </c>
      <c r="C320" s="38" t="s">
        <v>247</v>
      </c>
      <c r="D320" s="66" t="s">
        <v>835</v>
      </c>
      <c r="E320" s="38" t="s">
        <v>459</v>
      </c>
      <c r="F320" s="53"/>
      <c r="G320" s="56"/>
      <c r="H320" s="53"/>
      <c r="I320" s="57"/>
      <c r="J320" s="24"/>
      <c r="K320" s="24"/>
      <c r="L320" s="24"/>
      <c r="M320" s="22"/>
      <c r="N320" s="22"/>
    </row>
    <row r="321" spans="1:14" ht="15.75" customHeight="1" x14ac:dyDescent="0.35">
      <c r="A321" s="33" t="str">
        <f>CONCATENATE("mldcat-ap-fair:","cell/",ROWS(A$11:A321))</f>
        <v>mldcat-ap-fair:cell/311</v>
      </c>
      <c r="B321" s="8" t="s">
        <v>24</v>
      </c>
      <c r="C321" s="38" t="s">
        <v>248</v>
      </c>
      <c r="D321" s="66" t="s">
        <v>836</v>
      </c>
      <c r="E321" s="38" t="s">
        <v>460</v>
      </c>
      <c r="F321" s="53"/>
      <c r="G321" s="56"/>
      <c r="H321" s="53"/>
      <c r="I321" s="57"/>
      <c r="J321" s="24"/>
      <c r="K321" s="24"/>
      <c r="L321" s="24"/>
      <c r="M321" s="22"/>
      <c r="N321" s="22"/>
    </row>
    <row r="322" spans="1:14" ht="15.75" customHeight="1" x14ac:dyDescent="0.35">
      <c r="A322" s="33" t="str">
        <f>CONCATENATE("mldcat-ap-fair:","cell/",ROWS(A$11:A322))</f>
        <v>mldcat-ap-fair:cell/312</v>
      </c>
      <c r="B322" s="8" t="s">
        <v>24</v>
      </c>
      <c r="C322" s="38" t="s">
        <v>42</v>
      </c>
      <c r="D322" s="66" t="s">
        <v>837</v>
      </c>
      <c r="E322" s="38" t="s">
        <v>461</v>
      </c>
      <c r="F322" s="53"/>
      <c r="G322" s="56"/>
      <c r="H322" s="53"/>
      <c r="I322" s="57"/>
      <c r="J322" s="24"/>
      <c r="K322" s="24"/>
      <c r="L322" s="24"/>
      <c r="M322" s="22"/>
      <c r="N322" s="22"/>
    </row>
  </sheetData>
  <hyperlinks>
    <hyperlink ref="C8" r:id="rId1" display="https://w3id.org/fair4ml" xr:uid="{AF70D1D5-9203-43C4-9655-308D54086DA5}"/>
    <hyperlink ref="B1" r:id="rId2" xr:uid="{A687E55F-7CB0-4F27-8F25-06C7C103F00B}"/>
    <hyperlink ref="F229" r:id="rId3" location="evaluatedOn" display="https://w3id.org/fair4ml - evaluatedOn" xr:uid="{41BD4F2B-1136-4F01-9630-502CF998A1EC}"/>
    <hyperlink ref="F215" r:id="rId4" location="fineTunedFrom" display="https://w3id.org/fair4ml - fineTunedFrom" xr:uid="{3C30EFFA-3C84-43C8-A1F3-F955826E5139}"/>
    <hyperlink ref="F125" r:id="rId5" location="hasCO2eEmissions" display="https://w3id.org/fair4ml - hasCO2eEmissions" xr:uid="{097609C8-95C4-458A-9B39-861E21E4CA14}"/>
    <hyperlink ref="F200" r:id="rId6" location="intendedUse" display="https://w3id.org/fair4ml - intendedUse" xr:uid="{F56015B0-A530-40C9-B4C5-EC65FA9352BA}"/>
    <hyperlink ref="F211" r:id="rId7" location="modelCategory" display="https://w3id.org/fair4ml - modelCategory" xr:uid="{35DE17ED-15DF-42B8-A3F4-BAB418425C45}"/>
    <hyperlink ref="F224" r:id="rId8" location="modelRisksBiasLimitations" display="https://w3id.org/fair4ml - modelRisksBiasLimitations" xr:uid="{DAEF7B87-9543-4D64-9989-4DE5B71DE08D}"/>
    <hyperlink ref="F193" r:id="rId9" location="modelRisksBiasLimitations" display="https://w3id.org/fair4ml - modelRisksBiasLimitations" xr:uid="{AF62E5AE-243D-4CD5-92E8-1A6B495C36E9}"/>
    <hyperlink ref="F203" r:id="rId10" location="modelRisksBiasLimitations" display="https://w3id.org/fair4ml - modelRisksBiasLimitations" xr:uid="{CE0D0400-3870-42AB-B50F-6AE1C1524A34}"/>
    <hyperlink ref="F225" r:id="rId11" location="sharedBy" display="https://w3id.org/fair4ml - sharedBy" xr:uid="{8C294CD0-CBED-4C4D-8454-0B31C9B2B796}"/>
    <hyperlink ref="F230" r:id="rId12" location="testedOn" display="https://w3id.org/fair4ml - testedOn" xr:uid="{0858DC09-803B-47A2-BE56-40DB8D6300F5}"/>
    <hyperlink ref="F231" r:id="rId13" location="trainedOn" display="https://w3id.org/fair4ml - trainedOn" xr:uid="{03648BA6-579D-49B2-87FF-7012747A62C4}"/>
    <hyperlink ref="F199" r:id="rId14" location="usageInstructions" display="https://w3id.org/fair4ml - usageInstructions" xr:uid="{53CB28D3-6B22-4B9C-B017-73A552C5893E}"/>
    <hyperlink ref="F232" r:id="rId15" location="validatedOn" display="https://w3id.org/fair4ml - validatedOn" xr:uid="{C0439F63-F039-45B4-AFDA-6E1E9DFC34E6}"/>
    <hyperlink ref="F214" r:id="rId16" display="http://schema.org/author" xr:uid="{CA24E61C-8B7E-41BA-89A2-BB4419094B18}"/>
    <hyperlink ref="F17" r:id="rId17" display="http://schema.org/citation" xr:uid="{AA67F762-B9EA-41FB-B7BE-FE617857458B}"/>
    <hyperlink ref="F223" r:id="rId18" display="http://schema.org/codeRepository" xr:uid="{8BC4658F-F993-4134-A12B-E582854DD951}"/>
    <hyperlink ref="F213" r:id="rId19" display="http://schema.org/contributor" xr:uid="{75C38183-6630-4F1E-857B-D96820A594BF}"/>
    <hyperlink ref="F194" r:id="rId20" display="http://schema.org/dateCreated" xr:uid="{63AB7DBA-E414-4ACA-A790-CD7030A7823E}"/>
    <hyperlink ref="F204" r:id="rId21" display="http://schema.org/dateModified" xr:uid="{A03A9C33-2C26-4D56-BF1A-AE83404FF559}"/>
    <hyperlink ref="F205" r:id="rId22" display="http://schema.org/datePublished" xr:uid="{F0A4ED49-4996-4853-90D8-8837E576E03F}"/>
    <hyperlink ref="F195" r:id="rId23" display="http://schema.org/description" xr:uid="{ABD0D5A3-0CA5-417D-BD04-6018540CE098}"/>
    <hyperlink ref="F219" r:id="rId24" display="http://schema.org/distribution" xr:uid="{8FBAEE14-B54B-49EE-99D5-474510EC2319}"/>
    <hyperlink ref="F202" r:id="rId25" display="http://schema.org/inLanguage" xr:uid="{BD676D32-E012-4BEE-A159-2F2A0AA1A765}"/>
    <hyperlink ref="F201" r:id="rId26" display="http://schema.org/keywords" xr:uid="{5C9FF24B-F06B-430D-9DB3-7DC05720143F}"/>
    <hyperlink ref="F227" r:id="rId27" display="http://schema.org/license" xr:uid="{DD0E48BC-4E7D-433D-8315-17ECA6057BAC}"/>
    <hyperlink ref="F208" r:id="rId28" display="http://schema.org/name" xr:uid="{75BF19D4-6DCF-428E-9207-B4694F17423E}"/>
    <hyperlink ref="F212" r:id="rId29" display="http://schema.org/version" xr:uid="{8B900B23-1AFC-48E3-A9CC-537089D416E8}"/>
    <hyperlink ref="F19" r:id="rId30" display="https://w3id.org/codemeta/referencePublication" xr:uid="{6E633444-6D45-4107-88DE-D6BE55D553AA}"/>
    <hyperlink ref="C7" r:id="rId31" xr:uid="{C1148CE7-A807-4489-8166-B58E295DD9F4}"/>
    <hyperlink ref="C6" r:id="rId32" xr:uid="{DBBBDE77-0675-4FCA-8C3B-DA114E0C6FF3}"/>
    <hyperlink ref="C3" r:id="rId33" xr:uid="{BF8F73D2-BBAF-412E-B71F-4169D5079F1A}"/>
    <hyperlink ref="F269" r:id="rId34" location="evaluationMetrics" display="https://w3id.org/fair4ml - evaluationMetrics" xr:uid="{46BF867A-A6E0-4548-8B2C-47B426F6BD99}"/>
  </hyperlinks>
  <pageMargins left="0.7" right="0.7" top="0.75" bottom="0.75" header="0.3" footer="0.3"/>
  <pageSetup paperSize="9" orientation="portrait" r:id="rId3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EFB2A585EFEB438A74F703037745A4" ma:contentTypeVersion="22" ma:contentTypeDescription="Create a new document." ma:contentTypeScope="" ma:versionID="066928f5f756ae6a0953337b70a1faf9">
  <xsd:schema xmlns:xsd="http://www.w3.org/2001/XMLSchema" xmlns:xs="http://www.w3.org/2001/XMLSchema" xmlns:p="http://schemas.microsoft.com/office/2006/metadata/properties" xmlns:ns2="bf3f9575-65b8-4549-b389-33a18b8943d7" xmlns:ns3="21f64c02-1f20-443d-801b-ae17df5c4a0a" targetNamespace="http://schemas.microsoft.com/office/2006/metadata/properties" ma:root="true" ma:fieldsID="9a35f3283c960054123670de2c4a4632" ns2:_="" ns3:_="">
    <xsd:import namespace="bf3f9575-65b8-4549-b389-33a18b8943d7"/>
    <xsd:import namespace="21f64c02-1f20-443d-801b-ae17df5c4a0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f9575-65b8-4549-b389-33a18b8943d7" elementFormDefault="qualified">
    <xsd:import namespace="http://schemas.microsoft.com/office/2006/documentManagement/types"/>
    <xsd:import namespace="http://schemas.microsoft.com/office/infopath/2007/PartnerControls"/>
    <xsd:element name="SharedWithUsers" ma:index="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7c7bc177-ce74-4802-8951-60fdc00c6e55}" ma:internalName="TaxCatchAll" ma:showField="CatchAllData" ma:web="bf3f9575-65b8-4549-b389-33a18b8943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f64c02-1f20-443d-801b-ae17df5c4a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f64c02-1f20-443d-801b-ae17df5c4a0a">
      <Terms xmlns="http://schemas.microsoft.com/office/infopath/2007/PartnerControls"/>
    </lcf76f155ced4ddcb4097134ff3c332f>
    <TaxCatchAll xmlns="bf3f9575-65b8-4549-b389-33a18b8943d7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/>
</file>

<file path=customXml/itemProps1.xml><?xml version="1.0" encoding="utf-8"?>
<ds:datastoreItem xmlns:ds="http://schemas.openxmlformats.org/officeDocument/2006/customXml" ds:itemID="{804ED1CA-F6F9-4DA5-81E1-6507F4060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3f9575-65b8-4549-b389-33a18b8943d7"/>
    <ds:schemaRef ds:uri="21f64c02-1f20-443d-801b-ae17df5c4a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14A064-93B1-4946-A564-37CCD13BE679}">
  <ds:schemaRefs>
    <ds:schemaRef ds:uri="http://schemas.microsoft.com/office/2006/documentManagement/types"/>
    <ds:schemaRef ds:uri="21f64c02-1f20-443d-801b-ae17df5c4a0a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bf3f9575-65b8-4549-b389-33a18b8943d7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F26A884-F23F-41CC-B636-5EE822504D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Emidio Stani (BE)</cp:lastModifiedBy>
  <dcterms:created xsi:type="dcterms:W3CDTF">2023-01-25T20:20:49Z</dcterms:created>
  <dcterms:modified xsi:type="dcterms:W3CDTF">2025-02-18T08:24:57Z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0x0101007AEFB2A585EFEB438A74F703037745A4</vt:lpwstr>
  </property>
  <property fmtid="{D5CDD505-2E9C-101B-9397-08002B2CF9AE}" pid="3" name="MediaServiceImageTags">
    <vt:lpwstr/>
  </property>
</Properties>
</file>