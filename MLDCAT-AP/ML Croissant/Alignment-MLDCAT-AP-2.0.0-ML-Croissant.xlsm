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chiltz003\Documents\GitHub\Semantic-Mappings\MLDCAT-AP\ML Croissant\"/>
    </mc:Choice>
  </mc:AlternateContent>
  <xr:revisionPtr revIDLastSave="0" documentId="13_ncr:1_{5D731927-FFDF-44EB-899F-A69CC35CD2F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lignment" sheetId="1" r:id="rId1"/>
    <sheet name="mapping" sheetId="2" r:id="rId2"/>
  </sheets>
  <functionGroups builtInGroupCount="19"/>
  <definedNames>
    <definedName name="baseuri">mapping!$B$1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2" l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" i="2"/>
  <c r="E16" i="1" a="1"/>
  <c r="E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tc={31330C52-C00D-4E33-8C40-5F18CC40D05C}</author>
    <author>tc={EAFF49BF-55FC-4143-9519-824C1A0BEAF8}</author>
    <author>tc={4E266867-AD23-4FBF-B2C7-5DA745A607B4}</author>
    <author>tc={1F2E5B50-AAA6-4433-9D78-EF738FDEA12F}</author>
  </authors>
  <commentList>
    <comment ref="J9" authorId="0" shapeId="0" xr:uid="{31330C52-C00D-4E33-8C40-5F18CC40D05C}">
      <text>
        <t>[Threaded comment]
Your version of Excel allows you to read this threaded comment; however, any edits to it will get removed if the file is opened in a newer version of Excel. Learn more: https://go.microsoft.com/fwlink/?linkid=870924
Comment:
    Indicate cardinalities that are more relaxing in MLDCAT-AP</t>
      </text>
    </comment>
    <comment ref="J17" authorId="1" shapeId="0" xr:uid="{EAFF49BF-55FC-4143-9519-824C1A0BEAF8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= Needs to be enlarged and breaks DCAT-AP compatibility</t>
      </text>
    </comment>
    <comment ref="J18" authorId="2" shapeId="0" xr:uid="{4E266867-AD23-4FBF-B2C7-5DA745A607B4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= Restricting, does not break DCAT-AP compatibility</t>
      </text>
    </comment>
    <comment ref="J19" authorId="3" shapeId="0" xr:uid="{1F2E5B50-AAA6-4433-9D78-EF738FDEA12F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 = optional vs mandatory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9B0A5E-12FE-42E7-AF94-095EF8EA18F2}" name="alignment" type="4" refreshedVersion="0" background="1">
    <webPr xml="1" sourceData="1" url="C:\Users\estani002\Downloads\alignment2.xml" htmlTables="1" htmlFormat="all"/>
  </connection>
  <connection id="2" xr16:uid="{42FAE17F-8589-498B-8DF4-A3908621042F}" name="match" type="4" refreshedVersion="0" background="1">
    <webPr xml="1" sourceData="1" url="C:\Users\estani002\Downloads\AML_v3.2\AML_v3.2\store\match.rdf" htmlTables="1" htmlFormat="all"/>
  </connection>
  <connection id="3" xr16:uid="{8F53BC0B-273E-43D6-B5C3-F2003A03A8FE}" keepAlive="1" name="Query - map" description="Connection to the 'map' query in the workbook." type="5" refreshedVersion="0" background="1">
    <dbPr connection="Provider=Microsoft.Mashup.OleDb.1;Data Source=$Workbook$;Location=map;Extended Properties=&quot;&quot;" command="SELECT * FROM [map]"/>
  </connection>
  <connection id="4" xr16:uid="{99A69647-C606-43A8-9DD6-25145045E441}" keepAlive="1" name="Query - match" description="Connection to the 'match' query in the workbook." type="5" refreshedVersion="0" background="1">
    <dbPr connection="Provider=Microsoft.Mashup.OleDb.1;Data Source=$Workbook$;Location=match;Extended Properties=&quot;&quot;" command="SELECT * FROM [matc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<sst xmlns="http://schemas.openxmlformats.org/spreadsheetml/2006/main" count="315" uniqueCount="168">
  <si>
    <t>Class URI</t>
  </si>
  <si>
    <t>PREFIX</t>
  </si>
  <si>
    <t>align</t>
  </si>
  <si>
    <t>http://knowledgeweb.semanticweb.org/heterogeneity/alignment#</t>
  </si>
  <si>
    <t>sssom</t>
  </si>
  <si>
    <t>https://w3id.org/sssom/</t>
  </si>
  <si>
    <t>rdf:type</t>
  </si>
  <si>
    <t>dct:created^^xsd:date</t>
  </si>
  <si>
    <t>http://publications.europa.eu/resource/authority/corporate-body/DIGIT</t>
  </si>
  <si>
    <t>dct:license</t>
  </si>
  <si>
    <t>https://creativecommons.org/licenses/by/4.0/</t>
  </si>
  <si>
    <t>dct:title</t>
  </si>
  <si>
    <t>dct:description</t>
  </si>
  <si>
    <t>URI</t>
  </si>
  <si>
    <t>align:onto1</t>
  </si>
  <si>
    <t>align:onto2</t>
  </si>
  <si>
    <t>align:map(separator=",")</t>
  </si>
  <si>
    <t>sssom:subject_source_version</t>
  </si>
  <si>
    <t>sssom:object_source_version</t>
  </si>
  <si>
    <t>align:Alignment</t>
  </si>
  <si>
    <t>align:entity1</t>
  </si>
  <si>
    <t>align:entity2</t>
  </si>
  <si>
    <t>align:relation</t>
  </si>
  <si>
    <t>align:measure^^xsd:float</t>
  </si>
  <si>
    <t>align:Cell</t>
  </si>
  <si>
    <t>dct:publisher</t>
  </si>
  <si>
    <t>rdfs:comment</t>
  </si>
  <si>
    <t>http://data.europa.eu/m8g/</t>
  </si>
  <si>
    <t>sssom:mapping_justification</t>
  </si>
  <si>
    <t>semapv</t>
  </si>
  <si>
    <t>https://w3id.org/semapv/vocab/</t>
  </si>
  <si>
    <t>owl:annotatedProperty</t>
  </si>
  <si>
    <t>2.0.0</t>
  </si>
  <si>
    <t>bussdo</t>
  </si>
  <si>
    <t>http://xmlns.com/foaf/0.1/Agent</t>
  </si>
  <si>
    <t>http://www.w3.org/ns/mls#Algorithm</t>
  </si>
  <si>
    <t>http://www.w3.org/ns/dcat#Catalog</t>
  </si>
  <si>
    <t>http://www.w3.org/ns/dcat#Dataset</t>
  </si>
  <si>
    <t>http://www.w3.org/ns/dcat#Distribution</t>
  </si>
  <si>
    <t>http://data.europa.eu/m8g/MachineLearningModel</t>
  </si>
  <si>
    <t>https://linkedpaperswithcode.com/class/paper</t>
  </si>
  <si>
    <t>http://www.w3.org/ns/dqv#QualityMeasurement</t>
  </si>
  <si>
    <t>http://purl.org/spar/biro/BibliographicReference</t>
  </si>
  <si>
    <t>http://www.w3.org/ns/dcat#CatalogRecord</t>
  </si>
  <si>
    <t>http://www.w3.org/ns/dcat#Resource</t>
  </si>
  <si>
    <t>http://spdx.org/rdf/terms#Checksum</t>
  </si>
  <si>
    <t>http://spdx.org/rdf/terms#ChecksumAlgorithm</t>
  </si>
  <si>
    <t>http://www.w3.org/2004/02/skos/core#Concept</t>
  </si>
  <si>
    <t>http://www.w3.org/ns/dcat#DataService</t>
  </si>
  <si>
    <t>http://xmlns.com/foaf/0.1/Document</t>
  </si>
  <si>
    <t>http://data.europa.eu/m8g/Engagement</t>
  </si>
  <si>
    <t>http://data.europa.eu/m8g/ImageObject</t>
  </si>
  <si>
    <t>http://purl.org/dc/terms/LicenseDocument</t>
  </si>
  <si>
    <t>http://purl.org/dc/terms/LinguisticSystem</t>
  </si>
  <si>
    <t>http://purl.org/dc/terms/MediaTypeOrExtent</t>
  </si>
  <si>
    <t>http://www.w3.org/ns/odrl/2/Policy</t>
  </si>
  <si>
    <t>http://www.w3.org/ns/dqv#QualityMeasurementDataset</t>
  </si>
  <si>
    <t>https://linkedpaperswithcode.com/class/repository</t>
  </si>
  <si>
    <t>http://www.w3.org/2000/01/rdf-schema#Resource</t>
  </si>
  <si>
    <t>http://purl.org/dc/terms/RightsStatement</t>
  </si>
  <si>
    <t>http://data.europa.eu/m8g/Risk</t>
  </si>
  <si>
    <t>=</t>
  </si>
  <si>
    <t>owl:equivalentClass</t>
  </si>
  <si>
    <t>&lt;</t>
  </si>
  <si>
    <t>rdfs:subPropertyOf</t>
  </si>
  <si>
    <t>0.7</t>
  </si>
  <si>
    <t>A Field may represent a column of a table, or a nested data structure or even a nested RecordSet in the case of hierarchical data.</t>
  </si>
  <si>
    <t>http://purl.org/dc/terms/accessRights</t>
  </si>
  <si>
    <t>http://purl.org/dc/terms/contributor</t>
  </si>
  <si>
    <t>http://purl.org/dc/terms/creator</t>
  </si>
  <si>
    <t>http://purl.org/dc/terms/description</t>
  </si>
  <si>
    <t>http://www.w3.org/ns/dcat#distribution</t>
  </si>
  <si>
    <t>http://purl.org/dc/terms/hasVersion</t>
  </si>
  <si>
    <t>http://purl.org/dc/terms/identifier</t>
  </si>
  <si>
    <t>http://purl.org/dc/terms/isReferencedBy</t>
  </si>
  <si>
    <t>http://purl.org/dc/terms/isVersionOf</t>
  </si>
  <si>
    <t>http://purl.org/dc/terms/issued</t>
  </si>
  <si>
    <t>http://www.w3.org/ns/dcat#keyword</t>
  </si>
  <si>
    <t>http://www.w3.org/ns/dcat#landingPage</t>
  </si>
  <si>
    <t>http://purl.org/dc/terms/publisher</t>
  </si>
  <si>
    <t>http://www.w3.org/ns/adms#status</t>
  </si>
  <si>
    <t>http://purl.org/dc/terms/title</t>
  </si>
  <si>
    <t>http://www.w3.org/2002/07/owl#versionInfo</t>
  </si>
  <si>
    <t>http://schema.org/description</t>
  </si>
  <si>
    <t>owl:equivalentProperty</t>
  </si>
  <si>
    <t>rdfs:subClassOf</t>
  </si>
  <si>
    <t>http://www.w3.org/ns/dcat#accessService</t>
  </si>
  <si>
    <t>http://www.w3.org/ns/dcat#accessURL</t>
  </si>
  <si>
    <t>http://www.w3.org/ns/dcat#byteSize</t>
  </si>
  <si>
    <t>http://spdx.org/rdf/terms#checksum</t>
  </si>
  <si>
    <t>http://www.w3.org/ns/dcat#downloadURL</t>
  </si>
  <si>
    <t>http://purl.org/dc/terms/format</t>
  </si>
  <si>
    <t>http://www.w3.org/ns/odrl/2/hasPolicy</t>
  </si>
  <si>
    <t>http://www.w3.org/ns/dqv#hasQualityMeasurement</t>
  </si>
  <si>
    <t>http://purl.org/dc/terms/language</t>
  </si>
  <si>
    <t>http://purl.org/dc/terms/license</t>
  </si>
  <si>
    <t>http://schema.org/license</t>
  </si>
  <si>
    <t>http://schema.org/name</t>
  </si>
  <si>
    <t>http://schema.org/url</t>
  </si>
  <si>
    <t>In ML Croissant does not make a restriction of Data Provied/Third party provider.</t>
  </si>
  <si>
    <t>http://schema.org/creator</t>
  </si>
  <si>
    <t>http://schema.org/datePublished</t>
  </si>
  <si>
    <t>http://schema.org/keywords</t>
  </si>
  <si>
    <t>http://schema.org/publisher</t>
  </si>
  <si>
    <t>http://schema.org/version</t>
  </si>
  <si>
    <t>http://schema.org/dateCreated</t>
  </si>
  <si>
    <t>In MLDCAT-AP it denotes the date the data was collected.</t>
  </si>
  <si>
    <t>http://schema.org/inLanguage</t>
  </si>
  <si>
    <t>http://schema.org/distribution</t>
  </si>
  <si>
    <t>http://purl.org/dc/terms/type</t>
  </si>
  <si>
    <t>The cardinality is 1 in both models.</t>
  </si>
  <si>
    <t>In MLDCAT-AP 1..*, in ML Croissant 1.</t>
  </si>
  <si>
    <t>In MLDCAT-AP 0..1, in ML Croissant 1..*.</t>
  </si>
  <si>
    <t>In MLDCAT-AP 0..*, in ML Croissant 1..*.</t>
  </si>
  <si>
    <t>In MLDCAT-AP 0..*, in ML Croissant 0..* but can take multiple types.</t>
  </si>
  <si>
    <t>In MLDCAT-AP 0..*, in ML Croissant 1.</t>
  </si>
  <si>
    <t>In MLDCAT-AP 0..1, in ML Croissant 0..*.</t>
  </si>
  <si>
    <t>In MLDCAT-AP 0..1, in ML Croissant 0..1.</t>
  </si>
  <si>
    <t>In MLDCAT-AP it denotes do the language of a distribution, in ML Croissant it denotes the language of a dataset.</t>
  </si>
  <si>
    <t>In MLDCAT-AP 0..*, in ML Croissant 0..*.</t>
  </si>
  <si>
    <t>In MLDCAT-AP it denotes the license for a resource.</t>
  </si>
  <si>
    <t>In MLDCAT-AP 1, in ML Croissant 1..*.</t>
  </si>
  <si>
    <t>In MLDCAT-AP 0..1, in ML Croissant 1.</t>
  </si>
  <si>
    <t>http://mapping.semic.eu/mldcat-ap/sdo</t>
  </si>
  <si>
    <t>http://mapping.semic.eu/mldcat-ap/sdo/</t>
  </si>
  <si>
    <t>mldcat-apsdo</t>
  </si>
  <si>
    <t>Alignment of MLDCAT-AP with Croissant.</t>
  </si>
  <si>
    <t>It describes an alignment between MLDCAT-AP and Croissant.
The spreadsheet can be converted in RDF format using SKOS Play!. The RDF format are based on the Aligment Format and on SSSOM.</t>
  </si>
  <si>
    <t>oml</t>
  </si>
  <si>
    <t>http://openml.org/openml#</t>
  </si>
  <si>
    <t>cr</t>
  </si>
  <si>
    <t>http://mlcommons.org/croissant/</t>
  </si>
  <si>
    <t>oml:versionLabel</t>
  </si>
  <si>
    <t>oml:access_policy</t>
  </si>
  <si>
    <t>oml:defaultTargetAttribute</t>
  </si>
  <si>
    <t>oml:hasFeature</t>
  </si>
  <si>
    <t>oml:ignoreAttribute</t>
  </si>
  <si>
    <t>oml:processingError</t>
  </si>
  <si>
    <t>oml:processingWarning</t>
  </si>
  <si>
    <t>oml:processingDate</t>
  </si>
  <si>
    <t>oml:rowIDAttribute</t>
  </si>
  <si>
    <t>oml:OutputFilePrediction</t>
  </si>
  <si>
    <t>oml:Collection</t>
  </si>
  <si>
    <t>oml:CostMatrix</t>
  </si>
  <si>
    <t>oml:DataQuality</t>
  </si>
  <si>
    <t>oml:EstimationProcedure</t>
  </si>
  <si>
    <t>oml:Evaluation</t>
  </si>
  <si>
    <t>oml:EvaluationMeasure</t>
  </si>
  <si>
    <t>oml:Feature</t>
  </si>
  <si>
    <t>oml:Flow</t>
  </si>
  <si>
    <t>oml:FlowParameter</t>
  </si>
  <si>
    <t>oml:Measure</t>
  </si>
  <si>
    <t>oml:OutputFileDescription</t>
  </si>
  <si>
    <t>oml:Parameter</t>
  </si>
  <si>
    <t>oml:ParameterSetting</t>
  </si>
  <si>
    <t>oml:Prediction</t>
  </si>
  <si>
    <t>oml:PredictionFeature</t>
  </si>
  <si>
    <t>oml:Run</t>
  </si>
  <si>
    <t>oml:RunCollection</t>
  </si>
  <si>
    <t>oml:Split</t>
  </si>
  <si>
    <t>oml:Task</t>
  </si>
  <si>
    <t>oml:TaskCollection</t>
  </si>
  <si>
    <t>oml:TaskType</t>
  </si>
  <si>
    <t>oml:collectionDate</t>
  </si>
  <si>
    <t>cr:Field</t>
  </si>
  <si>
    <t>cr:dataType</t>
  </si>
  <si>
    <t>http://schema.org/Dataset</t>
  </si>
  <si>
    <t>1.0.0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</si>
</sst>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#,##0.0"/>
  </numFmts>
  <fonts count="10" x14ac:knownFonts="1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rgb="FF1155CC"/>
      <name val="Calibri"/>
      <family val="2"/>
    </font>
    <font>
      <u/>
      <sz val="10"/>
      <color theme="10"/>
      <name val="Arial"/>
      <family val="2"/>
      <scheme val="minor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trike/>
      <sz val="10"/>
      <color theme="1"/>
      <name val="Arial"/>
      <family val="2"/>
    </font>
    <font>
      <sz val="1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EFF2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0"/>
  </cellStyleXfs>
  <cellXfs count="119">
    <xf numFmtId="0" fontId="0" fillId="0" borderId="0" xfId="0"/>
    <xf numFmtId="0" fontId="1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1" fillId="0" borderId="6" xfId="0" applyFont="1" applyBorder="1"/>
    <xf numFmtId="0" fontId="2" fillId="0" borderId="7" xfId="0" applyFont="1" applyBorder="1"/>
    <xf numFmtId="165" fontId="2" fillId="0" borderId="3" xfId="0" applyNumberFormat="1" applyFont="1" applyBorder="1" applyAlignment="1">
      <alignment horizontal="right"/>
    </xf>
    <xf numFmtId="0" fontId="2" fillId="0" borderId="9" xfId="0" applyFont="1" applyBorder="1"/>
    <xf numFmtId="0" fontId="2" fillId="0" borderId="8" xfId="0" applyFont="1" applyBorder="1"/>
    <xf numFmtId="0" fontId="0" fillId="0" borderId="8" xfId="0" quotePrefix="1" applyBorder="1"/>
    <xf numFmtId="0" fontId="6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7" fillId="2" borderId="8" xfId="0" applyFont="1" applyFill="1" applyBorder="1"/>
    <xf numFmtId="0" fontId="5" fillId="2" borderId="3" xfId="0" applyFont="1" applyFill="1" applyBorder="1" applyAlignment="1">
      <alignment horizontal="center"/>
    </xf>
    <xf numFmtId="0" fontId="5" fillId="2" borderId="3" xfId="0" applyFont="1" applyFill="1" applyBorder="1"/>
    <xf numFmtId="0" fontId="2" fillId="0" borderId="8" xfId="0" applyFont="1" applyBorder="1" applyAlignment="1">
      <alignment horizontal="center"/>
    </xf>
    <xf numFmtId="0" fontId="2" fillId="0" borderId="4" xfId="0" applyFont="1" applyBorder="1"/>
    <xf numFmtId="0" fontId="0" fillId="0" borderId="0" xfId="0" applyAlignment="1">
      <alignment wrapText="1"/>
    </xf>
    <xf numFmtId="0" fontId="2" fillId="0" borderId="8" xfId="0" quotePrefix="1" applyFont="1" applyBorder="1" applyAlignment="1">
      <alignment horizontal="center"/>
    </xf>
    <xf numFmtId="0" fontId="1" fillId="2" borderId="8" xfId="0" applyFont="1" applyFill="1" applyBorder="1"/>
    <xf numFmtId="0" fontId="1" fillId="2" borderId="7" xfId="0" applyFont="1" applyFill="1" applyBorder="1"/>
    <xf numFmtId="0" fontId="1" fillId="0" borderId="13" xfId="0" applyFont="1" applyBorder="1"/>
    <xf numFmtId="0" fontId="2" fillId="0" borderId="0" xfId="0" applyFont="1" applyBorder="1"/>
    <xf numFmtId="0" fontId="2" fillId="0" borderId="15" xfId="0" applyFont="1" applyBorder="1"/>
    <xf numFmtId="0" fontId="0" fillId="0" borderId="0" xfId="0" applyFill="1"/>
    <xf numFmtId="165" fontId="2" fillId="0" borderId="8" xfId="0" applyNumberFormat="1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0" fillId="0" borderId="0" xfId="0" applyAlignment="1">
      <alignment horizontal="left"/>
    </xf>
    <xf numFmtId="165" fontId="2" fillId="0" borderId="3" xfId="0" applyNumberFormat="1" applyFont="1" applyBorder="1" applyAlignment="1">
      <alignment horizontal="left"/>
    </xf>
    <xf numFmtId="0" fontId="3" fillId="3" borderId="8" xfId="0" applyFont="1" applyFill="1" applyBorder="1"/>
    <xf numFmtId="0" fontId="2" fillId="3" borderId="15" xfId="0" applyFont="1" applyFill="1" applyBorder="1"/>
    <xf numFmtId="0" fontId="0" fillId="3" borderId="15" xfId="0" quotePrefix="1" applyFill="1" applyBorder="1"/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8" xfId="0" applyFont="1" applyFill="1" applyBorder="1"/>
    <xf numFmtId="0" fontId="0" fillId="3" borderId="8" xfId="0" applyFill="1" applyBorder="1"/>
    <xf numFmtId="0" fontId="6" fillId="3" borderId="8" xfId="0" quotePrefix="1" applyFont="1" applyFill="1" applyBorder="1"/>
    <xf numFmtId="0" fontId="4" fillId="3" borderId="8" xfId="1" applyFill="1" applyBorder="1" applyAlignment="1">
      <alignment horizontal="left"/>
    </xf>
    <xf numFmtId="0" fontId="8" fillId="3" borderId="8" xfId="0" quotePrefix="1" applyFont="1" applyFill="1" applyBorder="1" applyAlignment="1">
      <alignment horizontal="center"/>
    </xf>
    <xf numFmtId="165" fontId="2" fillId="3" borderId="8" xfId="0" applyNumberFormat="1" applyFont="1" applyFill="1" applyBorder="1" applyAlignment="1">
      <alignment horizontal="right"/>
    </xf>
    <xf numFmtId="0" fontId="6" fillId="3" borderId="11" xfId="0" applyFont="1" applyFill="1" applyBorder="1"/>
    <xf numFmtId="0" fontId="0" fillId="3" borderId="8" xfId="0" quotePrefix="1" applyFill="1" applyBorder="1"/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/>
    <xf numFmtId="0" fontId="6" fillId="3" borderId="8" xfId="0" applyFont="1" applyFill="1" applyBorder="1" applyAlignment="1">
      <alignment horizontal="left"/>
    </xf>
    <xf numFmtId="0" fontId="2" fillId="3" borderId="8" xfId="0" quotePrefix="1" applyFont="1" applyFill="1" applyBorder="1" applyAlignment="1">
      <alignment horizontal="center"/>
    </xf>
    <xf numFmtId="0" fontId="2" fillId="3" borderId="7" xfId="0" applyFont="1" applyFill="1" applyBorder="1"/>
    <xf numFmtId="165" fontId="2" fillId="3" borderId="3" xfId="0" applyNumberFormat="1" applyFont="1" applyFill="1" applyBorder="1" applyAlignment="1">
      <alignment horizontal="left"/>
    </xf>
    <xf numFmtId="165" fontId="2" fillId="3" borderId="3" xfId="0" applyNumberFormat="1" applyFont="1" applyFill="1" applyBorder="1" applyAlignment="1">
      <alignment horizontal="right"/>
    </xf>
    <xf numFmtId="0" fontId="0" fillId="3" borderId="8" xfId="0" applyFill="1" applyBorder="1" applyAlignment="1">
      <alignment horizontal="left"/>
    </xf>
    <xf numFmtId="0" fontId="6" fillId="3" borderId="10" xfId="0" applyFont="1" applyFill="1" applyBorder="1"/>
    <xf numFmtId="0" fontId="0" fillId="3" borderId="8" xfId="0" applyFill="1" applyBorder="1" applyAlignment="1">
      <alignment horizontal="center"/>
    </xf>
    <xf numFmtId="0" fontId="0" fillId="3" borderId="10" xfId="0" applyFill="1" applyBorder="1"/>
    <xf numFmtId="0" fontId="4" fillId="3" borderId="0" xfId="1" applyFill="1" applyAlignment="1">
      <alignment horizontal="left"/>
    </xf>
    <xf numFmtId="165" fontId="2" fillId="3" borderId="9" xfId="0" applyNumberFormat="1" applyFont="1" applyFill="1" applyBorder="1" applyAlignment="1">
      <alignment horizontal="right"/>
    </xf>
    <xf numFmtId="0" fontId="0" fillId="3" borderId="14" xfId="0" applyFill="1" applyBorder="1"/>
    <xf numFmtId="0" fontId="4" fillId="3" borderId="14" xfId="1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0" fontId="6" fillId="3" borderId="16" xfId="0" applyFont="1" applyFill="1" applyBorder="1"/>
    <xf numFmtId="0" fontId="2" fillId="3" borderId="14" xfId="0" applyFont="1" applyFill="1" applyBorder="1"/>
    <xf numFmtId="0" fontId="6" fillId="3" borderId="8" xfId="2" applyFont="1" applyFill="1" applyBorder="1"/>
    <xf numFmtId="0" fontId="6" fillId="3" borderId="8" xfId="2" applyFont="1" applyFill="1" applyBorder="1" applyAlignment="1">
      <alignment horizontal="left"/>
    </xf>
    <xf numFmtId="0" fontId="6" fillId="3" borderId="8" xfId="2" applyFont="1" applyFill="1" applyBorder="1" applyAlignment="1">
      <alignment horizontal="center"/>
    </xf>
    <xf numFmtId="165" fontId="2" fillId="3" borderId="8" xfId="2" applyNumberFormat="1" applyFont="1" applyFill="1" applyBorder="1" applyAlignment="1">
      <alignment horizontal="right"/>
    </xf>
    <xf numFmtId="0" fontId="6" fillId="3" borderId="18" xfId="2" applyFont="1" applyFill="1" applyBorder="1"/>
    <xf numFmtId="0" fontId="2" fillId="3" borderId="7" xfId="2" applyFont="1" applyFill="1" applyBorder="1"/>
    <xf numFmtId="0" fontId="6" fillId="3" borderId="8" xfId="2" applyFill="1" applyBorder="1"/>
    <xf numFmtId="0" fontId="6" fillId="3" borderId="8" xfId="2" applyFill="1" applyBorder="1" applyAlignment="1">
      <alignment horizontal="center"/>
    </xf>
    <xf numFmtId="165" fontId="2" fillId="3" borderId="3" xfId="2" applyNumberFormat="1" applyFont="1" applyFill="1" applyBorder="1" applyAlignment="1">
      <alignment horizontal="right"/>
    </xf>
    <xf numFmtId="0" fontId="6" fillId="3" borderId="10" xfId="2" applyFont="1" applyFill="1" applyBorder="1"/>
    <xf numFmtId="0" fontId="6" fillId="3" borderId="8" xfId="2" quotePrefix="1" applyFill="1" applyBorder="1"/>
    <xf numFmtId="0" fontId="6" fillId="3" borderId="14" xfId="2" applyFont="1" applyFill="1" applyBorder="1" applyAlignment="1">
      <alignment horizontal="left"/>
    </xf>
    <xf numFmtId="0" fontId="6" fillId="3" borderId="14" xfId="2" applyFill="1" applyBorder="1" applyAlignment="1">
      <alignment horizontal="center"/>
    </xf>
    <xf numFmtId="165" fontId="2" fillId="3" borderId="9" xfId="2" applyNumberFormat="1" applyFont="1" applyFill="1" applyBorder="1" applyAlignment="1">
      <alignment horizontal="right"/>
    </xf>
    <xf numFmtId="0" fontId="6" fillId="3" borderId="16" xfId="2" applyFont="1" applyFill="1" applyBorder="1"/>
    <xf numFmtId="0" fontId="2" fillId="0" borderId="15" xfId="0" applyFont="1" applyFill="1" applyBorder="1"/>
    <xf numFmtId="0" fontId="0" fillId="0" borderId="8" xfId="0" quotePrefix="1" applyFill="1" applyBorder="1"/>
    <xf numFmtId="165" fontId="2" fillId="0" borderId="3" xfId="0" applyNumberFormat="1" applyFont="1" applyFill="1" applyBorder="1" applyAlignment="1">
      <alignment horizontal="left"/>
    </xf>
    <xf numFmtId="0" fontId="6" fillId="0" borderId="8" xfId="0" applyFont="1" applyFill="1" applyBorder="1" applyAlignment="1">
      <alignment horizontal="center"/>
    </xf>
    <xf numFmtId="0" fontId="2" fillId="0" borderId="8" xfId="0" applyFont="1" applyFill="1" applyBorder="1"/>
    <xf numFmtId="0" fontId="6" fillId="0" borderId="8" xfId="0" applyFont="1" applyFill="1" applyBorder="1" applyAlignment="1">
      <alignment horizontal="left"/>
    </xf>
    <xf numFmtId="165" fontId="2" fillId="0" borderId="3" xfId="0" applyNumberFormat="1" applyFont="1" applyFill="1" applyBorder="1" applyAlignment="1">
      <alignment horizontal="right"/>
    </xf>
    <xf numFmtId="0" fontId="0" fillId="0" borderId="10" xfId="0" applyFill="1" applyBorder="1"/>
    <xf numFmtId="0" fontId="4" fillId="0" borderId="8" xfId="1" applyFill="1" applyBorder="1" applyAlignment="1">
      <alignment horizontal="left"/>
    </xf>
    <xf numFmtId="0" fontId="0" fillId="0" borderId="8" xfId="0" applyBorder="1" applyAlignment="1">
      <alignment wrapText="1"/>
    </xf>
    <xf numFmtId="0" fontId="1" fillId="2" borderId="8" xfId="0" applyFont="1" applyFill="1" applyBorder="1" applyAlignment="1">
      <alignment wrapText="1"/>
    </xf>
    <xf numFmtId="0" fontId="0" fillId="3" borderId="8" xfId="0" applyFill="1" applyBorder="1" applyAlignment="1">
      <alignment wrapText="1"/>
    </xf>
    <xf numFmtId="0" fontId="6" fillId="3" borderId="8" xfId="0" applyFont="1" applyFill="1" applyBorder="1" applyAlignment="1">
      <alignment wrapText="1"/>
    </xf>
    <xf numFmtId="0" fontId="6" fillId="0" borderId="8" xfId="0" applyFont="1" applyBorder="1" applyAlignment="1">
      <alignment wrapText="1"/>
    </xf>
    <xf numFmtId="0" fontId="0" fillId="0" borderId="8" xfId="0" applyFill="1" applyBorder="1" applyAlignment="1">
      <alignment wrapText="1"/>
    </xf>
    <xf numFmtId="0" fontId="0" fillId="3" borderId="14" xfId="0" applyFill="1" applyBorder="1" applyAlignment="1">
      <alignment wrapText="1"/>
    </xf>
    <xf numFmtId="0" fontId="6" fillId="3" borderId="14" xfId="0" applyFont="1" applyFill="1" applyBorder="1" applyAlignment="1">
      <alignment wrapText="1"/>
    </xf>
    <xf numFmtId="0" fontId="0" fillId="0" borderId="12" xfId="0" applyBorder="1" applyAlignment="1">
      <alignment wrapText="1"/>
    </xf>
    <xf numFmtId="0" fontId="1" fillId="2" borderId="12" xfId="0" applyFont="1" applyFill="1" applyBorder="1" applyAlignment="1">
      <alignment wrapText="1"/>
    </xf>
    <xf numFmtId="0" fontId="6" fillId="3" borderId="12" xfId="0" applyFont="1" applyFill="1" applyBorder="1" applyAlignment="1">
      <alignment wrapText="1"/>
    </xf>
    <xf numFmtId="0" fontId="0" fillId="3" borderId="12" xfId="0" applyFill="1" applyBorder="1" applyAlignment="1">
      <alignment wrapText="1"/>
    </xf>
    <xf numFmtId="0" fontId="0" fillId="0" borderId="12" xfId="0" applyFill="1" applyBorder="1" applyAlignment="1">
      <alignment wrapText="1"/>
    </xf>
    <xf numFmtId="0" fontId="7" fillId="3" borderId="12" xfId="0" applyFont="1" applyFill="1" applyBorder="1" applyAlignment="1">
      <alignment wrapText="1"/>
    </xf>
    <xf numFmtId="0" fontId="9" fillId="3" borderId="7" xfId="0" applyFont="1" applyFill="1" applyBorder="1" applyAlignment="1">
      <alignment wrapText="1"/>
    </xf>
    <xf numFmtId="0" fontId="6" fillId="3" borderId="17" xfId="0" applyFont="1" applyFill="1" applyBorder="1" applyAlignment="1">
      <alignment wrapText="1"/>
    </xf>
    <xf numFmtId="0" fontId="6" fillId="4" borderId="8" xfId="0" applyFont="1" applyFill="1" applyBorder="1" applyAlignment="1">
      <alignment wrapText="1"/>
    </xf>
    <xf numFmtId="0" fontId="6" fillId="5" borderId="8" xfId="0" applyFont="1" applyFill="1" applyBorder="1" applyAlignment="1">
      <alignment wrapText="1"/>
    </xf>
    <xf numFmtId="0" fontId="6" fillId="6" borderId="8" xfId="0" applyFont="1" applyFill="1" applyBorder="1" applyAlignment="1">
      <alignment wrapText="1"/>
    </xf>
    <xf numFmtId="0" fontId="0" fillId="5" borderId="8" xfId="0" applyFill="1" applyBorder="1" applyAlignment="1">
      <alignment wrapText="1"/>
    </xf>
    <xf numFmtId="0" fontId="0" fillId="4" borderId="8" xfId="0" applyFill="1" applyBorder="1" applyAlignment="1">
      <alignment wrapText="1"/>
    </xf>
    <xf numFmtId="0" fontId="0" fillId="0" borderId="8" xfId="0" applyFill="1" applyBorder="1"/>
    <xf numFmtId="49" fontId="2" fillId="0" borderId="8" xfId="0" quotePrefix="1" applyNumberFormat="1" applyFont="1" applyBorder="1"/>
    <xf numFmtId="0" fontId="1" fillId="0" borderId="8" xfId="0" applyFont="1" applyBorder="1"/>
    <xf numFmtId="164" fontId="2" fillId="0" borderId="8" xfId="0" applyNumberFormat="1" applyFont="1" applyBorder="1" applyAlignment="1">
      <alignment horizontal="right"/>
    </xf>
    <xf numFmtId="0" fontId="2" fillId="0" borderId="8" xfId="0" applyFont="1" applyBorder="1" applyAlignment="1">
      <alignment wrapText="1"/>
    </xf>
    <xf numFmtId="0" fontId="2" fillId="0" borderId="14" xfId="0" applyFont="1" applyBorder="1" applyAlignment="1">
      <alignment horizontal="center"/>
    </xf>
    <xf numFmtId="0" fontId="5" fillId="2" borderId="15" xfId="0" applyFont="1" applyFill="1" applyBorder="1"/>
    <xf numFmtId="0" fontId="5" fillId="2" borderId="15" xfId="0" applyFont="1" applyFill="1" applyBorder="1" applyAlignment="1">
      <alignment horizontal="left"/>
    </xf>
    <xf numFmtId="0" fontId="0" fillId="0" borderId="8" xfId="0" applyFill="1" applyBorder="1"/>
    <xf numFmtId="0" fontId="0" fillId="0" borderId="8" xfId="0" applyBorder="1"/>
  </cellXfs>
  <cellStyles count="3">
    <cellStyle name="Hyperlink" xfId="1" builtinId="8"/>
    <cellStyle name="Normal" xfId="0" builtinId="0"/>
    <cellStyle name="Normal 2" xfId="2" xr:uid="{00FDA923-1756-4671-9968-5AF275D5C7CB}"/>
  </cellStyles>
  <dxfs count="0"/>
  <tableStyles count="0" defaultTableStyle="TableStyleMedium2" defaultPivotStyle="PivotStyleLight16"/>
  <colors>
    <mruColors>
      <color rgb="FFEFF2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1999/02/22-rdf-syntax-ns#' xmlns:ns2='http://knowledgeweb.semanticweb.org/heterogeneity/alignment' xmlns:ns3='http://knowledgeweb.semanticweb.org/heterogeneity/alignment#'">
  <Schema ID="Schema1" Namespace="http://knowledgeweb.semanticweb.org/heterogeneity/alignment">
    <xsd:schema xmlns:xsd="http://www.w3.org/2001/XMLSchema" xmlns:ns0="http://www.w3.org/1999/02/22-rdf-syntax-ns#" xmlns:ns1="http://knowledgeweb.semanticweb.org/heterogeneity/alignment" xmlns="" targetNamespace="http://knowledgeweb.semanticweb.org/heterogeneity/alignment">
      <xsd:import namespace="http://www.w3.org/1999/02/22-rdf-syntax-ns#"/>
      <xsd:element nillable="true" name="Alignment">
        <xsd:complexType>
          <xsd:sequence minOccurs="0">
            <xsd:element minOccurs="0" nillable="true" type="xsd:string" name="xml" form="qualified"/>
            <xsd:element minOccurs="0" nillable="true" type="xsd:integer" name="level" form="qualified"/>
            <xsd:element minOccurs="0" nillable="true" type="xsd:integer" name="type" form="qualified"/>
            <xsd:element minOccurs="0" nillable="true" type="xsd:anyURI" name="onto1" form="qualified"/>
            <xsd:element minOccurs="0" nillable="true" type="xsd:anyURI" name="onto2" form="qualified"/>
            <xsd:element minOccurs="0" nillable="true" type="xsd:anyURI" name="uri1" form="qualified"/>
            <xsd:element minOccurs="0" nillable="true" type="xsd:anyURI" name="uri2" form="qualified"/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  <xsd:element minOccurs="0" nillable="true" type="xsd:string" name="relation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w3.org/1999/02/22-rdf-syntax-ns#">
    <xsd:schema xmlns:xsd="http://www.w3.org/2001/XMLSchema" xmlns:ns0="http://www.w3.org/1999/02/22-rdf-syntax-ns#" xmlns:ns1="http://knowledgeweb.semanticweb.org/heterogeneity/alignment" xmlns="" targetNamespace="http://www.w3.org/1999/02/22-rdf-syntax-ns#">
      <xsd:import namespace="http://knowledgeweb.semanticweb.org/heterogeneity/alignment"/>
      <xsd:element nillable="true" name="RDF">
        <xsd:complexType>
          <xsd:sequence minOccurs="0">
            <xsd:element minOccurs="0" ref="ns1:Alignment"/>
          </xsd:sequence>
          <xsd:attribute name="alignmentSource" form="unqualified" type="xsd:string"/>
        </xsd:complexType>
      </xsd:element>
      <xsd:attribute name="resource" type="xsd:anyURI"/>
      <xsd:attribute name="datatype" type="xsd:anyURI"/>
    </xsd:schema>
  </Schema>
  <Schema ID="Schema3" Namespace="http://knowledgeweb.semanticweb.org/heterogeneity/alignment#">
    <xsd:schema xmlns:xsd="http://www.w3.org/2001/XMLSchema" xmlns:ns0="http://www.w3.org/1999/02/22-rdf-syntax-ns#" xmlns:ns1="http://knowledgeweb.semanticweb.org/heterogeneity/alignment#" xmlns="" targetNamespace="http://knowledgeweb.semanticweb.org/heterogeneity/alignment#">
      <xsd:import namespace="http://www.w3.org/1999/02/22-rdf-syntax-ns#"/>
      <xsd:element nillable="true" name="Alignment">
        <xsd:complexType>
          <xsd:sequence minOccurs="0"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type="xsd:string" name="relation" form="qualified"/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 SchemaRef="Schema3" Namespace="http://www.w3.org/1999/02/22-rdf-syntax-ns#">
    <xsd:schema xmlns:xsd="http://www.w3.org/2001/XMLSchema" xmlns:ns0="http://www.w3.org/1999/02/22-rdf-syntax-ns#" xmlns:ns1="http://knowledgeweb.semanticweb.org/heterogeneity/alignment#" xmlns="" targetNamespace="http://www.w3.org/1999/02/22-rdf-syntax-ns#">
      <xsd:import namespace="http://knowledgeweb.semanticweb.org/heterogeneity/alignment#"/>
      <xsd:element nillable="true" name="RDF">
        <xsd:complexType>
          <xsd:sequence minOccurs="0">
            <xsd:element minOccurs="0" ref="ns1:Alignment"/>
          </xsd:sequence>
        </xsd:complexType>
      </xsd:element>
      <xsd:attribute name="resource" type="xsd:anyURI"/>
      <xsd:attribute name="datatype" type="xsd:anyURI"/>
    </xsd:schema>
  </Schema>
  <Map ID="1" Name="RDF_Map" RootElement="RDF" SchemaID="Schema2" ShowImportExportValidationErrors="false" AutoFit="true" Append="false" PreserveSortAFLayout="true" PreserveFormat="true">
    <DataBinding FileBinding="true" ConnectionID="2" DataBindingLoadMode="1"/>
  </Map>
  <Map ID="2" Name="RDF_Map1" RootElement="RDF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openxmlformats.org/officeDocument/2006/relationships/customXml" Target="../customXml/item4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5" Type="http://schemas.openxmlformats.org/officeDocument/2006/relationships/xmlMaps" Target="xmlMaps.xml"/><Relationship Id="rId10" Type="http://schemas.openxmlformats.org/officeDocument/2006/relationships/customXml" Target="../customXml/item1.xml"/><Relationship Id="rId4" Type="http://schemas.openxmlformats.org/officeDocument/2006/relationships/connections" Target="connections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rthur Schiltz (BE)" id="{B13A5011-4E95-4315-8166-42A383A51B38}" userId="S::arthur.schiltz@pwc.com::bcb8573a-25c8-4980-a3b8-d05779d7da36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9" dT="2024-04-10T11:53:14.14" personId="{B13A5011-4E95-4315-8166-42A383A51B38}" id="{31330C52-C00D-4E33-8C40-5F18CC40D05C}">
    <text>Indicate cardinalities that are more relaxing in MLDCAT-AP</text>
  </threadedComment>
  <threadedComment ref="J17" dT="2024-04-16T09:23:40.79" personId="{B13A5011-4E95-4315-8166-42A383A51B38}" id="{EAFF49BF-55FC-4143-9519-824C1A0BEAF8}">
    <text>Red = Needs to be enlarged and breaks DCAT-AP compatibility</text>
  </threadedComment>
  <threadedComment ref="J18" dT="2024-04-16T09:24:02.21" personId="{B13A5011-4E95-4315-8166-42A383A51B38}" id="{4E266867-AD23-4FBF-B2C7-5DA745A607B4}">
    <text>Green = Restricting, does not break DCAT-AP compatibility</text>
  </threadedComment>
  <threadedComment ref="J19" dT="2024-04-16T09:25:11.00" personId="{B13A5011-4E95-4315-8166-42A383A51B38}" id="{1F2E5B50-AAA6-4433-9D78-EF738FDEA12F}">
    <text>Yellow = optional vs mandatory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mlcommons.org/croissant/" TargetMode="External"/><Relationship Id="rId1" Type="http://schemas.openxmlformats.org/officeDocument/2006/relationships/hyperlink" Target="http://openml.org/open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http://mlcommons.org/croissant/Field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mlcommons.org/croissant/" TargetMode="External"/><Relationship Id="rId1" Type="http://schemas.openxmlformats.org/officeDocument/2006/relationships/hyperlink" Target="http://openml.org/openml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schema.org/Datas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6"/>
  <sheetViews>
    <sheetView tabSelected="1" workbookViewId="0">
      <selection activeCell="D16" sqref="D16"/>
    </sheetView>
  </sheetViews>
  <sheetFormatPr defaultColWidth="12.5703125" defaultRowHeight="15.75" customHeight="1" x14ac:dyDescent="0.2"/>
  <cols>
    <col min="1" max="1" width="20.5703125" customWidth="1"/>
    <col min="2" max="2" width="38.7109375" customWidth="1"/>
    <col min="3" max="3" width="35.42578125" customWidth="1"/>
    <col min="4" max="4" width="16.5703125" bestFit="1" customWidth="1"/>
    <col min="5" max="5" width="85.7109375" customWidth="1"/>
    <col min="6" max="6" width="28" bestFit="1" customWidth="1"/>
    <col min="7" max="7" width="27" bestFit="1" customWidth="1"/>
  </cols>
  <sheetData>
    <row r="1" spans="1:7" ht="12.75" x14ac:dyDescent="0.2">
      <c r="A1" s="111" t="s">
        <v>0</v>
      </c>
      <c r="B1" s="109" t="s">
        <v>123</v>
      </c>
      <c r="C1" s="9"/>
      <c r="D1" s="9"/>
      <c r="E1" s="9"/>
      <c r="F1" s="9"/>
      <c r="G1" s="9"/>
    </row>
    <row r="2" spans="1:7" ht="12.75" x14ac:dyDescent="0.2">
      <c r="A2" s="111" t="s">
        <v>1</v>
      </c>
      <c r="B2" s="9" t="s">
        <v>2</v>
      </c>
      <c r="C2" s="109" t="s">
        <v>3</v>
      </c>
      <c r="D2" s="9"/>
      <c r="E2" s="9"/>
      <c r="F2" s="9"/>
      <c r="G2" s="9"/>
    </row>
    <row r="3" spans="1:7" ht="12.75" x14ac:dyDescent="0.2">
      <c r="A3" s="111" t="s">
        <v>1</v>
      </c>
      <c r="B3" s="9" t="s">
        <v>4</v>
      </c>
      <c r="C3" s="109" t="s">
        <v>5</v>
      </c>
      <c r="D3" s="9"/>
      <c r="E3" s="9"/>
      <c r="F3" s="9"/>
      <c r="G3" s="9"/>
    </row>
    <row r="4" spans="1:7" ht="12.75" x14ac:dyDescent="0.2">
      <c r="A4" s="111" t="s">
        <v>1</v>
      </c>
      <c r="B4" s="9" t="s">
        <v>125</v>
      </c>
      <c r="C4" s="109" t="s">
        <v>124</v>
      </c>
      <c r="D4" s="9"/>
      <c r="E4" s="9"/>
      <c r="F4" s="9"/>
      <c r="G4" s="9"/>
    </row>
    <row r="5" spans="1:7" ht="12.75" x14ac:dyDescent="0.2">
      <c r="A5" s="111" t="s">
        <v>1</v>
      </c>
      <c r="B5" s="9" t="s">
        <v>128</v>
      </c>
      <c r="C5" s="109" t="s">
        <v>129</v>
      </c>
      <c r="D5" s="9"/>
      <c r="E5" s="9"/>
      <c r="F5" s="9"/>
      <c r="G5" s="9"/>
    </row>
    <row r="6" spans="1:7" ht="12.75" x14ac:dyDescent="0.2">
      <c r="A6" s="111" t="s">
        <v>1</v>
      </c>
      <c r="B6" s="9" t="s">
        <v>130</v>
      </c>
      <c r="C6" s="109" t="s">
        <v>131</v>
      </c>
      <c r="D6" s="9"/>
      <c r="E6" s="9"/>
      <c r="F6" s="9"/>
      <c r="G6" s="9"/>
    </row>
    <row r="7" spans="1:7" ht="12.75" x14ac:dyDescent="0.2">
      <c r="A7" s="111" t="s">
        <v>6</v>
      </c>
      <c r="B7" s="9" t="s">
        <v>19</v>
      </c>
      <c r="C7" s="9"/>
      <c r="D7" s="9"/>
      <c r="E7" s="9"/>
      <c r="F7" s="9"/>
      <c r="G7" s="9"/>
    </row>
    <row r="8" spans="1:7" ht="12.75" x14ac:dyDescent="0.2">
      <c r="A8" s="111" t="s">
        <v>7</v>
      </c>
      <c r="B8" s="112">
        <v>45401</v>
      </c>
      <c r="C8" s="9"/>
      <c r="D8" s="9"/>
      <c r="E8" s="9"/>
      <c r="F8" s="9"/>
      <c r="G8" s="9"/>
    </row>
    <row r="9" spans="1:7" ht="12.75" x14ac:dyDescent="0.2">
      <c r="A9" s="111" t="s">
        <v>25</v>
      </c>
      <c r="B9" s="117" t="s">
        <v>8</v>
      </c>
      <c r="C9" s="117"/>
      <c r="D9" s="9"/>
      <c r="E9" s="9"/>
      <c r="F9" s="9"/>
      <c r="G9" s="9"/>
    </row>
    <row r="10" spans="1:7" ht="12.75" x14ac:dyDescent="0.2">
      <c r="A10" s="111" t="s">
        <v>9</v>
      </c>
      <c r="B10" s="109" t="s">
        <v>10</v>
      </c>
      <c r="C10" s="9"/>
      <c r="D10" s="9"/>
      <c r="E10" s="9"/>
      <c r="F10" s="9"/>
      <c r="G10" s="9"/>
    </row>
    <row r="11" spans="1:7" ht="12.75" x14ac:dyDescent="0.2">
      <c r="A11" s="111" t="s">
        <v>11</v>
      </c>
      <c r="B11" s="9" t="s">
        <v>126</v>
      </c>
      <c r="C11" s="9"/>
      <c r="D11" s="9"/>
      <c r="E11" s="9"/>
      <c r="F11" s="9"/>
      <c r="G11" s="9"/>
    </row>
    <row r="12" spans="1:7" ht="76.349999999999994" customHeight="1" x14ac:dyDescent="0.2">
      <c r="A12" s="111" t="s">
        <v>12</v>
      </c>
      <c r="B12" s="113" t="s">
        <v>127</v>
      </c>
      <c r="C12" s="9"/>
      <c r="D12" s="9"/>
      <c r="E12" s="9"/>
      <c r="F12" s="9"/>
      <c r="G12" s="9"/>
    </row>
    <row r="13" spans="1:7" ht="15.75" customHeight="1" x14ac:dyDescent="0.2">
      <c r="A13" s="9"/>
      <c r="B13" s="9"/>
      <c r="C13" s="9"/>
      <c r="D13" s="9"/>
      <c r="E13" s="9"/>
      <c r="F13" s="9"/>
      <c r="G13" s="9"/>
    </row>
    <row r="14" spans="1:7" ht="15.75" customHeight="1" x14ac:dyDescent="0.2">
      <c r="A14" s="9"/>
      <c r="B14" s="9"/>
      <c r="C14" s="9"/>
      <c r="D14" s="9"/>
      <c r="E14" s="9"/>
      <c r="F14" s="9"/>
      <c r="G14" s="9"/>
    </row>
    <row r="15" spans="1:7" ht="15.75" customHeight="1" x14ac:dyDescent="0.2">
      <c r="A15" s="13" t="s">
        <v>13</v>
      </c>
      <c r="B15" s="13" t="s">
        <v>6</v>
      </c>
      <c r="C15" s="13" t="s">
        <v>14</v>
      </c>
      <c r="D15" s="13" t="s">
        <v>15</v>
      </c>
      <c r="E15" s="13" t="s">
        <v>16</v>
      </c>
      <c r="F15" s="13" t="s">
        <v>17</v>
      </c>
      <c r="G15" s="13" t="s">
        <v>18</v>
      </c>
    </row>
    <row r="16" spans="1:7" ht="30.6" customHeight="1" x14ac:dyDescent="0.2">
      <c r="A16" s="109" t="s">
        <v>123</v>
      </c>
      <c r="B16" s="9" t="s">
        <v>19</v>
      </c>
      <c r="C16" s="109" t="s">
        <v>27</v>
      </c>
      <c r="D16" s="118" t="s">
        <v>131</v>
      </c>
      <c r="E16" s="88" t="str" cm="1">
        <f t="array" aca="1" ref="E16" ca="1">ConcatNoStrike(mapping!A10:A79,",")</f>
        <v>mldcat-apsdo:cell/1,mldcat-apsdo:cell/2,mldcat-apsdo:cell/3,mldcat-apsdo:cell/4,mldcat-apsdo:cell/5,mldcat-apsdo:cell/6,mldcat-apsdo:cell/7,mldcat-apsdo:cell/8,mldcat-apsdo:cell/9,mldcat-apsdo:cell/10,mldcat-apsdo:cell/11,mldcat-apsdo:cell/12,mldcat-apsdo:cell/13,mldcat-apsdo:cell/14,mldcat-apsdo:cell/15,mldcat-apsdo:cell/16,mldcat-apsdo:cell/17,mldcat-apsdo:cell/18,mldcat-apsdo:cell/19,mldcat-apsdo:cell/20,mldcat-apsdo:cell/21,mldcat-apsdo:cell/22,mldcat-apsdo:cell/23,mldcat-apsdo:cell/24,mldcat-apsdo:cell/25,mldcat-apsdo:cell/26,mldcat-apsdo:cell/27,mldcat-apsdo:cell/28,mldcat-apsdo:cell/29,mldcat-apsdo:cell/30,mldcat-apsdo:cell/31,mldcat-apsdo:cell/32,mldcat-apsdo:cell/33,mldcat-apsdo:cell/34,mldcat-apsdo:cell/35,mldcat-apsdo:cell/36,mldcat-apsdo:cell/37,mldcat-apsdo:cell/38,mldcat-apsdo:cell/39,mldcat-apsdo:cell/40,mldcat-apsdo:cell/41,mldcat-apsdo:cell/42,mldcat-apsdo:cell/43,mldcat-apsdo:cell/44,mldcat-apsdo:cell/45,mldcat-apsdo:cell/46,mldcat-apsdo:cell/47,mldcat-apsdo:cell/48,mldcat-apsdo:cell/49,mldcat-apsdo:cell/50,mldcat-apsdo:cell/51,mldcat-apsdo:cell/52,mldcat-apsdo:cell/53,mldcat-apsdo:cell/54,mldcat-apsdo:cell/55,mldcat-apsdo:cell/56,mldcat-apsdo:cell/57,mldcat-apsdo:cell/58,mldcat-apsdo:cell/59,mldcat-apsdo:cell/60,mldcat-apsdo:cell/61,mldcat-apsdo:cell/62,mldcat-apsdo:cell/63,mldcat-apsdo:cell/64,mldcat-apsdo:cell/65,mldcat-apsdo:cell/66,mldcat-apsdo:cell/67,mldcat-apsdo:cell/68,mldcat-apsdo:cell/69,mldcat-apsdo:cell/70,</v>
      </c>
      <c r="F16" s="110" t="s">
        <v>32</v>
      </c>
      <c r="G16" s="110" t="s">
        <v>167</v>
      </c>
    </row>
  </sheetData>
  <mergeCells count="1">
    <mergeCell ref="B9:C9"/>
  </mergeCells>
  <hyperlinks>
    <hyperlink ref="C5" r:id="rId1" xr:uid="{73BD2A48-07B8-4F70-9EC4-A0F8D8A5F3C6}"/>
    <hyperlink ref="C6" r:id="rId2" xr:uid="{FA30594E-D147-49A3-A5FF-3426D9A1CE6B}"/>
  </hyperlinks>
  <pageMargins left="0.7" right="0.7" top="0.75" bottom="0.75" header="0.3" footer="0.3"/>
  <pageSetup paperSize="9"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J99"/>
  <sheetViews>
    <sheetView workbookViewId="0">
      <selection activeCell="D8" sqref="D8"/>
    </sheetView>
  </sheetViews>
  <sheetFormatPr defaultColWidth="12.5703125" defaultRowHeight="15.75" customHeight="1" x14ac:dyDescent="0.2"/>
  <cols>
    <col min="1" max="1" width="14" bestFit="1" customWidth="1"/>
    <col min="2" max="2" width="10.42578125" customWidth="1"/>
    <col min="3" max="3" width="52.7109375" bestFit="1" customWidth="1"/>
    <col min="4" max="4" width="36" style="31" bestFit="1" customWidth="1"/>
    <col min="5" max="5" width="12.5703125" style="12"/>
    <col min="6" max="6" width="23.28515625" bestFit="1" customWidth="1"/>
    <col min="7" max="7" width="21.28515625" bestFit="1" customWidth="1"/>
    <col min="8" max="8" width="25.7109375" bestFit="1" customWidth="1"/>
    <col min="9" max="9" width="67.7109375" style="18" customWidth="1"/>
    <col min="10" max="10" width="45.28515625" style="18" customWidth="1"/>
  </cols>
  <sheetData>
    <row r="1" spans="1:10" ht="12.75" x14ac:dyDescent="0.2">
      <c r="A1" s="1" t="s">
        <v>0</v>
      </c>
      <c r="B1" s="25" t="s">
        <v>123</v>
      </c>
      <c r="C1" s="9"/>
      <c r="D1" s="27"/>
      <c r="E1" s="16"/>
      <c r="F1" s="2"/>
      <c r="G1" s="4"/>
      <c r="H1" s="9"/>
      <c r="I1" s="96"/>
      <c r="J1" s="88"/>
    </row>
    <row r="2" spans="1:10" ht="12.75" x14ac:dyDescent="0.2">
      <c r="A2" s="5" t="s">
        <v>1</v>
      </c>
      <c r="B2" s="6" t="s">
        <v>2</v>
      </c>
      <c r="C2" s="109" t="s">
        <v>3</v>
      </c>
      <c r="D2" s="28"/>
      <c r="E2" s="16"/>
      <c r="F2" s="3"/>
      <c r="G2" s="6"/>
      <c r="H2" s="9"/>
      <c r="I2" s="96"/>
      <c r="J2" s="88"/>
    </row>
    <row r="3" spans="1:10" ht="12.75" x14ac:dyDescent="0.2">
      <c r="A3" s="1" t="s">
        <v>1</v>
      </c>
      <c r="B3" s="17" t="s">
        <v>33</v>
      </c>
      <c r="C3" s="109" t="s">
        <v>124</v>
      </c>
      <c r="D3" s="28"/>
      <c r="E3" s="16"/>
      <c r="F3" s="3"/>
      <c r="G3" s="6"/>
      <c r="H3" s="9"/>
      <c r="I3" s="96"/>
      <c r="J3" s="88"/>
    </row>
    <row r="4" spans="1:10" ht="12.75" x14ac:dyDescent="0.2">
      <c r="A4" s="5" t="s">
        <v>1</v>
      </c>
      <c r="B4" s="6" t="s">
        <v>4</v>
      </c>
      <c r="C4" s="109" t="s">
        <v>5</v>
      </c>
      <c r="D4" s="28"/>
      <c r="E4" s="16"/>
      <c r="F4" s="3"/>
      <c r="G4" s="6"/>
      <c r="H4" s="9"/>
      <c r="I4" s="96"/>
      <c r="J4" s="88"/>
    </row>
    <row r="5" spans="1:10" ht="15.75" customHeight="1" x14ac:dyDescent="0.2">
      <c r="A5" s="22" t="s">
        <v>1</v>
      </c>
      <c r="B5" s="23" t="s">
        <v>29</v>
      </c>
      <c r="C5" s="109" t="s">
        <v>30</v>
      </c>
      <c r="D5" s="29"/>
      <c r="E5" s="114"/>
      <c r="F5" s="8"/>
      <c r="G5" s="6"/>
      <c r="H5" s="9"/>
      <c r="I5" s="96"/>
      <c r="J5" s="88"/>
    </row>
    <row r="6" spans="1:10" ht="15.75" customHeight="1" x14ac:dyDescent="0.2">
      <c r="A6" s="111" t="s">
        <v>1</v>
      </c>
      <c r="B6" s="9" t="s">
        <v>128</v>
      </c>
      <c r="C6" s="109" t="s">
        <v>129</v>
      </c>
      <c r="D6" s="30"/>
      <c r="E6" s="16"/>
      <c r="F6" s="9"/>
      <c r="G6" s="6"/>
      <c r="H6" s="9"/>
      <c r="I6" s="96"/>
      <c r="J6" s="88"/>
    </row>
    <row r="7" spans="1:10" ht="15.75" customHeight="1" x14ac:dyDescent="0.2">
      <c r="A7" s="111" t="s">
        <v>1</v>
      </c>
      <c r="B7" s="9" t="s">
        <v>130</v>
      </c>
      <c r="C7" s="109" t="s">
        <v>131</v>
      </c>
      <c r="D7" s="30"/>
      <c r="E7" s="16"/>
      <c r="F7" s="9"/>
      <c r="G7" s="6"/>
      <c r="H7" s="9"/>
      <c r="I7" s="96"/>
      <c r="J7" s="88"/>
    </row>
    <row r="8" spans="1:10" ht="15.75" customHeight="1" x14ac:dyDescent="0.2">
      <c r="A8" s="9"/>
      <c r="B8" s="9"/>
      <c r="C8" s="9"/>
      <c r="D8" s="30"/>
      <c r="E8" s="16"/>
      <c r="F8" s="9"/>
      <c r="G8" s="6"/>
      <c r="H8" s="9"/>
      <c r="I8" s="96"/>
      <c r="J8" s="88"/>
    </row>
    <row r="9" spans="1:10" ht="15.75" customHeight="1" x14ac:dyDescent="0.2">
      <c r="A9" s="115" t="s">
        <v>13</v>
      </c>
      <c r="B9" s="115" t="s">
        <v>6</v>
      </c>
      <c r="C9" s="115" t="s">
        <v>20</v>
      </c>
      <c r="D9" s="116" t="s">
        <v>21</v>
      </c>
      <c r="E9" s="14" t="s">
        <v>22</v>
      </c>
      <c r="F9" s="15" t="s">
        <v>23</v>
      </c>
      <c r="G9" s="21" t="s">
        <v>31</v>
      </c>
      <c r="H9" s="20" t="s">
        <v>28</v>
      </c>
      <c r="I9" s="97" t="s">
        <v>12</v>
      </c>
      <c r="J9" s="89" t="s">
        <v>26</v>
      </c>
    </row>
    <row r="10" spans="1:10" s="37" customFormat="1" ht="15.75" customHeight="1" x14ac:dyDescent="0.25">
      <c r="A10" s="33" t="str">
        <f>CONCATENATE("mldcat-apsdo:","cell/",ROWS(A$10:A10))</f>
        <v>mldcat-apsdo:cell/1</v>
      </c>
      <c r="B10" s="34" t="s">
        <v>24</v>
      </c>
      <c r="C10" s="35" t="s">
        <v>34</v>
      </c>
      <c r="D10" s="41"/>
      <c r="E10" s="42"/>
      <c r="F10" s="43"/>
      <c r="G10" s="44"/>
      <c r="H10" s="38"/>
      <c r="I10" s="98"/>
      <c r="J10" s="90"/>
    </row>
    <row r="11" spans="1:10" s="37" customFormat="1" ht="15.75" customHeight="1" x14ac:dyDescent="0.25">
      <c r="A11" s="33" t="str">
        <f>CONCATENATE("mldcat-apsdo:","cell/",ROWS(A$10:A11))</f>
        <v>mldcat-apsdo:cell/2</v>
      </c>
      <c r="B11" s="34" t="s">
        <v>24</v>
      </c>
      <c r="C11" s="40" t="s">
        <v>35</v>
      </c>
      <c r="D11" s="41"/>
      <c r="E11" s="42"/>
      <c r="F11" s="43"/>
      <c r="G11" s="44"/>
      <c r="H11" s="38"/>
      <c r="I11" s="98"/>
      <c r="J11" s="90"/>
    </row>
    <row r="12" spans="1:10" s="37" customFormat="1" ht="15.75" customHeight="1" x14ac:dyDescent="0.25">
      <c r="A12" s="33" t="str">
        <f>CONCATENATE("mldcat-apsdo:","cell/",ROWS(A$10:A12))</f>
        <v>mldcat-apsdo:cell/3</v>
      </c>
      <c r="B12" s="34" t="s">
        <v>24</v>
      </c>
      <c r="C12" s="45" t="s">
        <v>36</v>
      </c>
      <c r="D12" s="41"/>
      <c r="E12" s="46"/>
      <c r="F12" s="43"/>
      <c r="G12" s="44"/>
      <c r="H12" s="38"/>
      <c r="I12" s="99"/>
      <c r="J12" s="91"/>
    </row>
    <row r="13" spans="1:10" s="37" customFormat="1" ht="15.75" customHeight="1" x14ac:dyDescent="0.25">
      <c r="A13" s="33" t="str">
        <f>CONCATENATE("mldcat-apsdo:","cell/",ROWS(A$10:A13))</f>
        <v>mldcat-apsdo:cell/4</v>
      </c>
      <c r="B13" s="34" t="s">
        <v>24</v>
      </c>
      <c r="C13" s="45" t="s">
        <v>37</v>
      </c>
      <c r="D13" s="45" t="s">
        <v>166</v>
      </c>
      <c r="E13" s="49" t="s">
        <v>61</v>
      </c>
      <c r="F13" s="43">
        <v>1</v>
      </c>
      <c r="G13" s="50" t="s">
        <v>62</v>
      </c>
      <c r="H13" s="38"/>
      <c r="I13" s="99"/>
      <c r="J13" s="91"/>
    </row>
    <row r="14" spans="1:10" ht="15.75" customHeight="1" x14ac:dyDescent="0.25">
      <c r="A14" s="33" t="str">
        <f>CONCATENATE("mldcat-apsdo:","cell/",ROWS(A$10:A14))</f>
        <v>mldcat-apsdo:cell/5</v>
      </c>
      <c r="B14" s="24" t="s">
        <v>24</v>
      </c>
      <c r="C14" s="10" t="s">
        <v>67</v>
      </c>
      <c r="D14" s="26"/>
      <c r="E14" s="19"/>
      <c r="F14" s="7"/>
      <c r="G14" s="6"/>
      <c r="H14" s="9"/>
      <c r="I14" s="96"/>
      <c r="J14" s="92"/>
    </row>
    <row r="15" spans="1:10" ht="15.75" customHeight="1" x14ac:dyDescent="0.25">
      <c r="A15" s="33" t="str">
        <f>CONCATENATE("mldcat-apsdo:","cell/",ROWS(A$10:A15))</f>
        <v>mldcat-apsdo:cell/6</v>
      </c>
      <c r="B15" s="24" t="s">
        <v>24</v>
      </c>
      <c r="C15" s="10" t="s">
        <v>163</v>
      </c>
      <c r="D15" s="26" t="s">
        <v>105</v>
      </c>
      <c r="E15" s="19" t="s">
        <v>63</v>
      </c>
      <c r="F15" s="7">
        <v>0.7</v>
      </c>
      <c r="G15" s="6" t="s">
        <v>64</v>
      </c>
      <c r="H15" s="9"/>
      <c r="I15" s="96" t="s">
        <v>106</v>
      </c>
      <c r="J15" s="92" t="s">
        <v>110</v>
      </c>
    </row>
    <row r="16" spans="1:10" ht="15.75" customHeight="1" x14ac:dyDescent="0.25">
      <c r="A16" s="33" t="str">
        <f>CONCATENATE("mldcat-apsdo:","cell/",ROWS(A$10:A16))</f>
        <v>mldcat-apsdo:cell/7</v>
      </c>
      <c r="B16" s="24" t="s">
        <v>24</v>
      </c>
      <c r="C16" s="10" t="s">
        <v>68</v>
      </c>
      <c r="D16" s="26"/>
      <c r="E16" s="19"/>
      <c r="F16" s="7"/>
      <c r="G16" s="6"/>
      <c r="H16" s="9"/>
      <c r="I16" s="96"/>
      <c r="J16" s="92"/>
    </row>
    <row r="17" spans="1:10" ht="15" x14ac:dyDescent="0.25">
      <c r="A17" s="33" t="str">
        <f>CONCATENATE("mldcat-apsdo:","cell/",ROWS(A$10:A17))</f>
        <v>mldcat-apsdo:cell/8</v>
      </c>
      <c r="B17" s="24" t="s">
        <v>24</v>
      </c>
      <c r="C17" s="10" t="s">
        <v>69</v>
      </c>
      <c r="D17" s="26" t="s">
        <v>100</v>
      </c>
      <c r="E17" s="19" t="s">
        <v>61</v>
      </c>
      <c r="F17" s="7">
        <v>1</v>
      </c>
      <c r="G17" s="6" t="s">
        <v>84</v>
      </c>
      <c r="H17" s="9"/>
      <c r="I17" s="96"/>
      <c r="J17" s="104" t="s">
        <v>112</v>
      </c>
    </row>
    <row r="18" spans="1:10" ht="15.75" customHeight="1" x14ac:dyDescent="0.25">
      <c r="A18" s="33" t="str">
        <f>CONCATENATE("mldcat-apsdo:","cell/",ROWS(A$10:A18))</f>
        <v>mldcat-apsdo:cell/9</v>
      </c>
      <c r="B18" s="24" t="s">
        <v>24</v>
      </c>
      <c r="C18" s="10" t="s">
        <v>70</v>
      </c>
      <c r="D18" s="26" t="s">
        <v>83</v>
      </c>
      <c r="E18" s="19" t="s">
        <v>61</v>
      </c>
      <c r="F18" s="7">
        <v>1</v>
      </c>
      <c r="G18" s="6" t="s">
        <v>84</v>
      </c>
      <c r="H18" s="9"/>
      <c r="I18" s="96"/>
      <c r="J18" s="105" t="s">
        <v>111</v>
      </c>
    </row>
    <row r="19" spans="1:10" ht="15.75" customHeight="1" x14ac:dyDescent="0.25">
      <c r="A19" s="33" t="str">
        <f>CONCATENATE("mldcat-apsdo:","cell/",ROWS(A$10:A19))</f>
        <v>mldcat-apsdo:cell/10</v>
      </c>
      <c r="B19" s="24" t="s">
        <v>24</v>
      </c>
      <c r="C19" s="10" t="s">
        <v>71</v>
      </c>
      <c r="D19" s="26" t="s">
        <v>108</v>
      </c>
      <c r="E19" s="19" t="s">
        <v>61</v>
      </c>
      <c r="F19" s="7">
        <v>0.7</v>
      </c>
      <c r="G19" s="6" t="s">
        <v>84</v>
      </c>
      <c r="H19" s="9"/>
      <c r="I19" s="96"/>
      <c r="J19" s="106" t="s">
        <v>113</v>
      </c>
    </row>
    <row r="20" spans="1:10" ht="15.75" customHeight="1" x14ac:dyDescent="0.25">
      <c r="A20" s="33" t="str">
        <f>CONCATENATE("mldcat-apsdo:","cell/",ROWS(A$10:A20))</f>
        <v>mldcat-apsdo:cell/11</v>
      </c>
      <c r="B20" s="24" t="s">
        <v>24</v>
      </c>
      <c r="C20" s="10" t="s">
        <v>72</v>
      </c>
      <c r="D20" s="26"/>
      <c r="E20" s="19"/>
      <c r="F20" s="7"/>
      <c r="G20" s="6"/>
      <c r="H20" s="9"/>
      <c r="I20" s="96"/>
      <c r="J20" s="92"/>
    </row>
    <row r="21" spans="1:10" ht="15.75" customHeight="1" x14ac:dyDescent="0.25">
      <c r="A21" s="33" t="str">
        <f>CONCATENATE("mldcat-apsdo:","cell/",ROWS(A$10:A21))</f>
        <v>mldcat-apsdo:cell/12</v>
      </c>
      <c r="B21" s="24" t="s">
        <v>24</v>
      </c>
      <c r="C21" s="10" t="s">
        <v>73</v>
      </c>
      <c r="D21" s="26"/>
      <c r="E21" s="19"/>
      <c r="F21" s="7"/>
      <c r="G21" s="6"/>
      <c r="H21" s="9"/>
      <c r="I21" s="96"/>
      <c r="J21" s="92"/>
    </row>
    <row r="22" spans="1:10" ht="15.75" customHeight="1" x14ac:dyDescent="0.25">
      <c r="A22" s="33" t="str">
        <f>CONCATENATE("mldcat-apsdo:","cell/",ROWS(A$10:A22))</f>
        <v>mldcat-apsdo:cell/13</v>
      </c>
      <c r="B22" s="24" t="s">
        <v>24</v>
      </c>
      <c r="C22" s="10" t="s">
        <v>74</v>
      </c>
      <c r="D22" s="26"/>
      <c r="E22" s="19"/>
      <c r="F22" s="7"/>
      <c r="G22" s="6"/>
      <c r="H22" s="9"/>
      <c r="I22" s="96"/>
      <c r="J22" s="92"/>
    </row>
    <row r="23" spans="1:10" ht="15.75" customHeight="1" x14ac:dyDescent="0.25">
      <c r="A23" s="33" t="str">
        <f>CONCATENATE("mldcat-apsdo:","cell/",ROWS(A$10:A23))</f>
        <v>mldcat-apsdo:cell/14</v>
      </c>
      <c r="B23" s="24" t="s">
        <v>24</v>
      </c>
      <c r="C23" s="10" t="s">
        <v>75</v>
      </c>
      <c r="D23" s="26"/>
      <c r="E23" s="11"/>
      <c r="F23" s="7"/>
      <c r="G23" s="6"/>
      <c r="H23" s="9"/>
      <c r="I23" s="96"/>
      <c r="J23" s="88"/>
    </row>
    <row r="24" spans="1:10" ht="15.75" customHeight="1" x14ac:dyDescent="0.25">
      <c r="A24" s="33" t="str">
        <f>CONCATENATE("mldcat-apsdo:","cell/",ROWS(A$10:A24))</f>
        <v>mldcat-apsdo:cell/15</v>
      </c>
      <c r="B24" s="24" t="s">
        <v>24</v>
      </c>
      <c r="C24" s="10" t="s">
        <v>76</v>
      </c>
      <c r="D24" s="26" t="s">
        <v>101</v>
      </c>
      <c r="E24" s="11" t="s">
        <v>61</v>
      </c>
      <c r="F24" s="7">
        <v>1</v>
      </c>
      <c r="G24" s="6" t="s">
        <v>84</v>
      </c>
      <c r="H24" s="9"/>
      <c r="I24" s="96"/>
      <c r="J24" s="106" t="s">
        <v>122</v>
      </c>
    </row>
    <row r="25" spans="1:10" ht="26.25" x14ac:dyDescent="0.25">
      <c r="A25" s="33" t="str">
        <f>CONCATENATE("mldcat-apsdo:","cell/",ROWS(A$10:A25))</f>
        <v>mldcat-apsdo:cell/16</v>
      </c>
      <c r="B25" s="24" t="s">
        <v>24</v>
      </c>
      <c r="C25" s="10" t="s">
        <v>77</v>
      </c>
      <c r="D25" s="32" t="s">
        <v>102</v>
      </c>
      <c r="E25" s="11" t="s">
        <v>61</v>
      </c>
      <c r="F25" s="7">
        <v>1</v>
      </c>
      <c r="G25" s="6" t="s">
        <v>84</v>
      </c>
      <c r="H25" s="9"/>
      <c r="I25" s="96"/>
      <c r="J25" s="88" t="s">
        <v>114</v>
      </c>
    </row>
    <row r="26" spans="1:10" ht="15.75" customHeight="1" x14ac:dyDescent="0.25">
      <c r="A26" s="33" t="str">
        <f>CONCATENATE("mldcat-apsdo:","cell/",ROWS(A$10:A26))</f>
        <v>mldcat-apsdo:cell/17</v>
      </c>
      <c r="B26" s="24" t="s">
        <v>24</v>
      </c>
      <c r="C26" s="10" t="s">
        <v>78</v>
      </c>
      <c r="D26" s="32" t="s">
        <v>98</v>
      </c>
      <c r="E26" s="11" t="s">
        <v>63</v>
      </c>
      <c r="F26" s="7">
        <v>0.7</v>
      </c>
      <c r="G26" s="6" t="s">
        <v>64</v>
      </c>
      <c r="H26" s="9"/>
      <c r="I26" s="96" t="s">
        <v>99</v>
      </c>
      <c r="J26" s="107" t="s">
        <v>115</v>
      </c>
    </row>
    <row r="27" spans="1:10" ht="15.75" customHeight="1" x14ac:dyDescent="0.25">
      <c r="A27" s="33" t="str">
        <f>CONCATENATE("mldcat-apsdo:","cell/",ROWS(A$10:A27))</f>
        <v>mldcat-apsdo:cell/18</v>
      </c>
      <c r="B27" s="24" t="s">
        <v>24</v>
      </c>
      <c r="C27" s="10" t="s">
        <v>79</v>
      </c>
      <c r="D27" s="32" t="s">
        <v>103</v>
      </c>
      <c r="E27" s="11" t="s">
        <v>61</v>
      </c>
      <c r="F27" s="7">
        <v>1</v>
      </c>
      <c r="G27" s="6" t="s">
        <v>84</v>
      </c>
      <c r="H27" s="9"/>
      <c r="I27" s="96"/>
      <c r="J27" s="108" t="s">
        <v>116</v>
      </c>
    </row>
    <row r="28" spans="1:10" ht="15.75" customHeight="1" x14ac:dyDescent="0.25">
      <c r="A28" s="33" t="str">
        <f>CONCATENATE("mldcat-apsdo:","cell/",ROWS(A$10:A28))</f>
        <v>mldcat-apsdo:cell/19</v>
      </c>
      <c r="B28" s="24" t="s">
        <v>24</v>
      </c>
      <c r="C28" s="10" t="s">
        <v>80</v>
      </c>
      <c r="D28" s="32"/>
      <c r="E28" s="11"/>
      <c r="F28" s="7"/>
      <c r="G28" s="6"/>
      <c r="H28" s="9"/>
      <c r="I28" s="96"/>
      <c r="J28" s="88"/>
    </row>
    <row r="29" spans="1:10" ht="15.75" customHeight="1" x14ac:dyDescent="0.25">
      <c r="A29" s="33" t="str">
        <f>CONCATENATE("mldcat-apsdo:","cell/",ROWS(A$10:A29))</f>
        <v>mldcat-apsdo:cell/20</v>
      </c>
      <c r="B29" s="24" t="s">
        <v>24</v>
      </c>
      <c r="C29" s="10" t="s">
        <v>81</v>
      </c>
      <c r="D29" s="32" t="s">
        <v>97</v>
      </c>
      <c r="E29" s="11" t="s">
        <v>61</v>
      </c>
      <c r="F29" s="7">
        <v>1</v>
      </c>
      <c r="G29" s="6" t="s">
        <v>84</v>
      </c>
      <c r="H29" s="9"/>
      <c r="I29" s="96"/>
      <c r="J29" s="107" t="s">
        <v>111</v>
      </c>
    </row>
    <row r="30" spans="1:10" ht="15.75" customHeight="1" x14ac:dyDescent="0.25">
      <c r="A30" s="33" t="str">
        <f>CONCATENATE("mldcat-apsdo:","cell/",ROWS(A$10:A30))</f>
        <v>mldcat-apsdo:cell/21</v>
      </c>
      <c r="B30" s="24" t="s">
        <v>24</v>
      </c>
      <c r="C30" s="10" t="s">
        <v>82</v>
      </c>
      <c r="D30" s="32" t="s">
        <v>104</v>
      </c>
      <c r="E30" s="11" t="s">
        <v>61</v>
      </c>
      <c r="F30" s="7">
        <v>1</v>
      </c>
      <c r="G30" s="6" t="s">
        <v>84</v>
      </c>
      <c r="H30" s="9"/>
      <c r="I30" s="96"/>
      <c r="J30" s="88" t="s">
        <v>117</v>
      </c>
    </row>
    <row r="31" spans="1:10" ht="15.75" customHeight="1" x14ac:dyDescent="0.25">
      <c r="A31" s="33" t="str">
        <f>CONCATENATE("mldcat-apsdo:","cell/",ROWS(A$10:A31))</f>
        <v>mldcat-apsdo:cell/22</v>
      </c>
      <c r="B31" s="24" t="s">
        <v>24</v>
      </c>
      <c r="C31" s="10" t="s">
        <v>132</v>
      </c>
      <c r="D31" s="26"/>
      <c r="E31" s="11"/>
      <c r="F31" s="7"/>
      <c r="G31" s="6"/>
      <c r="H31" s="9"/>
      <c r="I31" s="96"/>
      <c r="J31" s="88"/>
    </row>
    <row r="32" spans="1:10" ht="15.75" customHeight="1" x14ac:dyDescent="0.25">
      <c r="A32" s="33" t="str">
        <f>CONCATENATE("mldcat-apsdo:","cell/",ROWS(A$10:A32))</f>
        <v>mldcat-apsdo:cell/23</v>
      </c>
      <c r="B32" s="24" t="s">
        <v>24</v>
      </c>
      <c r="C32" s="10" t="s">
        <v>133</v>
      </c>
      <c r="D32" s="32"/>
      <c r="E32" s="11"/>
      <c r="F32" s="7"/>
      <c r="G32" s="6"/>
      <c r="H32" s="9"/>
      <c r="I32" s="96"/>
      <c r="J32" s="88"/>
    </row>
    <row r="33" spans="1:10" s="37" customFormat="1" ht="15.75" customHeight="1" x14ac:dyDescent="0.25">
      <c r="A33" s="33" t="str">
        <f>CONCATENATE("mldcat-apsdo:","cell/",ROWS(A$10:A33))</f>
        <v>mldcat-apsdo:cell/24</v>
      </c>
      <c r="B33" s="34" t="s">
        <v>24</v>
      </c>
      <c r="C33" s="45" t="s">
        <v>38</v>
      </c>
      <c r="D33" s="51"/>
      <c r="E33" s="46"/>
      <c r="F33" s="52"/>
      <c r="G33" s="50"/>
      <c r="H33" s="38"/>
      <c r="I33" s="99"/>
      <c r="J33" s="90"/>
    </row>
    <row r="34" spans="1:10" s="25" customFormat="1" ht="15.75" customHeight="1" x14ac:dyDescent="0.25">
      <c r="A34" s="33" t="str">
        <f>CONCATENATE("mldcat-apsdo:","cell/",ROWS(A$10:A34))</f>
        <v>mldcat-apsdo:cell/25</v>
      </c>
      <c r="B34" s="24" t="s">
        <v>24</v>
      </c>
      <c r="C34" s="80" t="s">
        <v>86</v>
      </c>
      <c r="D34" s="81"/>
      <c r="E34" s="82"/>
      <c r="F34" s="7"/>
      <c r="G34" s="6"/>
      <c r="H34" s="83"/>
      <c r="I34" s="100"/>
      <c r="J34" s="93"/>
    </row>
    <row r="35" spans="1:10" s="25" customFormat="1" ht="15.75" customHeight="1" x14ac:dyDescent="0.25">
      <c r="A35" s="33" t="str">
        <f>CONCATENATE("mldcat-apsdo:","cell/",ROWS(A$10:A35))</f>
        <v>mldcat-apsdo:cell/26</v>
      </c>
      <c r="B35" s="24" t="s">
        <v>24</v>
      </c>
      <c r="C35" s="80" t="s">
        <v>87</v>
      </c>
      <c r="D35" s="81"/>
      <c r="E35" s="82"/>
      <c r="F35" s="7"/>
      <c r="G35" s="6"/>
      <c r="H35" s="83"/>
      <c r="I35" s="100"/>
      <c r="J35" s="93"/>
    </row>
    <row r="36" spans="1:10" s="25" customFormat="1" ht="15.75" customHeight="1" x14ac:dyDescent="0.25">
      <c r="A36" s="33" t="str">
        <f>CONCATENATE("mldcat-apsdo:","cell/",ROWS(A$10:A36))</f>
        <v>mldcat-apsdo:cell/27</v>
      </c>
      <c r="B36" s="24" t="s">
        <v>24</v>
      </c>
      <c r="C36" s="80" t="s">
        <v>88</v>
      </c>
      <c r="D36" s="81"/>
      <c r="E36" s="82"/>
      <c r="F36" s="7"/>
      <c r="G36" s="6"/>
      <c r="H36" s="83"/>
      <c r="I36" s="100"/>
      <c r="J36" s="93"/>
    </row>
    <row r="37" spans="1:10" s="25" customFormat="1" ht="15.75" customHeight="1" x14ac:dyDescent="0.25">
      <c r="A37" s="33" t="str">
        <f>CONCATENATE("mldcat-apsdo:","cell/",ROWS(A$10:A37))</f>
        <v>mldcat-apsdo:cell/28</v>
      </c>
      <c r="B37" s="24" t="s">
        <v>24</v>
      </c>
      <c r="C37" s="80" t="s">
        <v>89</v>
      </c>
      <c r="D37" s="81"/>
      <c r="E37" s="82"/>
      <c r="F37" s="7"/>
      <c r="G37" s="6"/>
      <c r="H37" s="83"/>
      <c r="I37" s="100"/>
      <c r="J37" s="93"/>
    </row>
    <row r="38" spans="1:10" s="25" customFormat="1" ht="15.75" customHeight="1" x14ac:dyDescent="0.25">
      <c r="A38" s="33" t="str">
        <f>CONCATENATE("mldcat-apsdo:","cell/",ROWS(A$10:A38))</f>
        <v>mldcat-apsdo:cell/29</v>
      </c>
      <c r="B38" s="24" t="s">
        <v>24</v>
      </c>
      <c r="C38" s="80" t="s">
        <v>134</v>
      </c>
      <c r="D38" s="81"/>
      <c r="E38" s="82"/>
      <c r="F38" s="7"/>
      <c r="G38" s="6"/>
      <c r="H38" s="83"/>
      <c r="I38" s="100"/>
      <c r="J38" s="93"/>
    </row>
    <row r="39" spans="1:10" s="25" customFormat="1" ht="15.75" customHeight="1" x14ac:dyDescent="0.25">
      <c r="A39" s="33" t="str">
        <f>CONCATENATE("mldcat-apsdo:","cell/",ROWS(A$10:A39))</f>
        <v>mldcat-apsdo:cell/30</v>
      </c>
      <c r="B39" s="24" t="s">
        <v>24</v>
      </c>
      <c r="C39" s="80" t="s">
        <v>90</v>
      </c>
      <c r="D39" s="81"/>
      <c r="E39" s="82"/>
      <c r="F39" s="7"/>
      <c r="G39" s="6"/>
      <c r="H39" s="83"/>
      <c r="I39" s="100"/>
      <c r="J39" s="93"/>
    </row>
    <row r="40" spans="1:10" s="25" customFormat="1" ht="15.75" customHeight="1" x14ac:dyDescent="0.25">
      <c r="A40" s="33" t="str">
        <f>CONCATENATE("mldcat-apsdo:","cell/",ROWS(A$10:A40))</f>
        <v>mldcat-apsdo:cell/31</v>
      </c>
      <c r="B40" s="24" t="s">
        <v>24</v>
      </c>
      <c r="C40" s="80" t="s">
        <v>91</v>
      </c>
      <c r="D40" s="81"/>
      <c r="E40" s="82"/>
      <c r="F40" s="7"/>
      <c r="G40" s="6"/>
      <c r="H40" s="83"/>
      <c r="I40" s="100"/>
      <c r="J40" s="93"/>
    </row>
    <row r="41" spans="1:10" s="25" customFormat="1" ht="15.75" customHeight="1" x14ac:dyDescent="0.25">
      <c r="A41" s="33" t="str">
        <f>CONCATENATE("mldcat-apsdo:","cell/",ROWS(A$10:A41))</f>
        <v>mldcat-apsdo:cell/32</v>
      </c>
      <c r="B41" s="24" t="s">
        <v>24</v>
      </c>
      <c r="C41" s="80" t="s">
        <v>135</v>
      </c>
      <c r="D41" s="81"/>
      <c r="E41" s="82"/>
      <c r="F41" s="7"/>
      <c r="G41" s="6"/>
      <c r="H41" s="83"/>
      <c r="I41" s="100"/>
      <c r="J41" s="93"/>
    </row>
    <row r="42" spans="1:10" s="25" customFormat="1" ht="15.75" customHeight="1" x14ac:dyDescent="0.25">
      <c r="A42" s="33" t="str">
        <f>CONCATENATE("mldcat-apsdo:","cell/",ROWS(A$10:A42))</f>
        <v>mldcat-apsdo:cell/33</v>
      </c>
      <c r="B42" s="24" t="s">
        <v>24</v>
      </c>
      <c r="C42" s="80" t="s">
        <v>92</v>
      </c>
      <c r="D42" s="81"/>
      <c r="E42" s="82"/>
      <c r="F42" s="7"/>
      <c r="G42" s="6"/>
      <c r="H42" s="83"/>
      <c r="I42" s="100"/>
      <c r="J42" s="93"/>
    </row>
    <row r="43" spans="1:10" s="25" customFormat="1" ht="15.75" customHeight="1" x14ac:dyDescent="0.25">
      <c r="A43" s="33" t="str">
        <f>CONCATENATE("mldcat-apsdo:","cell/",ROWS(A$10:A43))</f>
        <v>mldcat-apsdo:cell/34</v>
      </c>
      <c r="B43" s="24" t="s">
        <v>24</v>
      </c>
      <c r="C43" s="80" t="s">
        <v>93</v>
      </c>
      <c r="D43" s="81"/>
      <c r="E43" s="82"/>
      <c r="F43" s="7"/>
      <c r="G43" s="6"/>
      <c r="H43" s="83"/>
      <c r="I43" s="100"/>
      <c r="J43" s="93"/>
    </row>
    <row r="44" spans="1:10" s="25" customFormat="1" ht="15.75" customHeight="1" x14ac:dyDescent="0.25">
      <c r="A44" s="33" t="str">
        <f>CONCATENATE("mldcat-apsdo:","cell/",ROWS(A$10:A44))</f>
        <v>mldcat-apsdo:cell/35</v>
      </c>
      <c r="B44" s="24" t="s">
        <v>24</v>
      </c>
      <c r="C44" s="80" t="s">
        <v>73</v>
      </c>
      <c r="D44" s="81"/>
      <c r="E44" s="82"/>
      <c r="F44" s="7"/>
      <c r="G44" s="6"/>
      <c r="H44" s="83"/>
      <c r="I44" s="100"/>
      <c r="J44" s="93"/>
    </row>
    <row r="45" spans="1:10" s="25" customFormat="1" ht="15.75" customHeight="1" x14ac:dyDescent="0.25">
      <c r="A45" s="33" t="str">
        <f>CONCATENATE("mldcat-apsdo:","cell/",ROWS(A$10:A45))</f>
        <v>mldcat-apsdo:cell/36</v>
      </c>
      <c r="B45" s="24" t="s">
        <v>24</v>
      </c>
      <c r="C45" s="80" t="s">
        <v>136</v>
      </c>
      <c r="D45" s="81"/>
      <c r="E45" s="82"/>
      <c r="F45" s="7"/>
      <c r="G45" s="6"/>
      <c r="H45" s="83"/>
      <c r="I45" s="100"/>
      <c r="J45" s="93"/>
    </row>
    <row r="46" spans="1:10" s="25" customFormat="1" ht="26.25" x14ac:dyDescent="0.25">
      <c r="A46" s="33" t="str">
        <f>CONCATENATE("mldcat-apsdo:","cell/",ROWS(A$10:A46))</f>
        <v>mldcat-apsdo:cell/37</v>
      </c>
      <c r="B46" s="24" t="s">
        <v>24</v>
      </c>
      <c r="C46" s="80" t="s">
        <v>94</v>
      </c>
      <c r="D46" s="81" t="s">
        <v>107</v>
      </c>
      <c r="E46" s="82" t="s">
        <v>61</v>
      </c>
      <c r="F46" s="7">
        <v>0.7</v>
      </c>
      <c r="G46" s="6" t="s">
        <v>84</v>
      </c>
      <c r="H46" s="83"/>
      <c r="I46" s="100" t="s">
        <v>118</v>
      </c>
      <c r="J46" s="93" t="s">
        <v>119</v>
      </c>
    </row>
    <row r="47" spans="1:10" s="25" customFormat="1" ht="15.75" customHeight="1" x14ac:dyDescent="0.25">
      <c r="A47" s="33" t="str">
        <f>CONCATENATE("mldcat-apsdo:","cell/",ROWS(A$10:A47))</f>
        <v>mldcat-apsdo:cell/38</v>
      </c>
      <c r="B47" s="24" t="s">
        <v>24</v>
      </c>
      <c r="C47" s="80" t="s">
        <v>95</v>
      </c>
      <c r="D47" s="81" t="s">
        <v>96</v>
      </c>
      <c r="E47" s="82" t="s">
        <v>61</v>
      </c>
      <c r="F47" s="7">
        <v>0.7</v>
      </c>
      <c r="G47" s="6" t="s">
        <v>84</v>
      </c>
      <c r="H47" s="83"/>
      <c r="I47" s="100" t="s">
        <v>120</v>
      </c>
      <c r="J47" s="108" t="s">
        <v>116</v>
      </c>
    </row>
    <row r="48" spans="1:10" s="25" customFormat="1" ht="15.75" customHeight="1" x14ac:dyDescent="0.25">
      <c r="A48" s="33" t="str">
        <f>CONCATENATE("mldcat-apsdo:","cell/",ROWS(A$10:A48))</f>
        <v>mldcat-apsdo:cell/39</v>
      </c>
      <c r="B48" s="24" t="s">
        <v>24</v>
      </c>
      <c r="C48" s="80" t="s">
        <v>137</v>
      </c>
      <c r="D48" s="81"/>
      <c r="E48" s="82"/>
      <c r="F48" s="7"/>
      <c r="G48" s="6"/>
      <c r="H48" s="83"/>
      <c r="I48" s="100"/>
      <c r="J48" s="93"/>
    </row>
    <row r="49" spans="1:10" s="25" customFormat="1" ht="15.75" customHeight="1" x14ac:dyDescent="0.25">
      <c r="A49" s="33" t="str">
        <f>CONCATENATE("mldcat-apsdo:","cell/",ROWS(A$10:A49))</f>
        <v>mldcat-apsdo:cell/40</v>
      </c>
      <c r="B49" s="24" t="s">
        <v>24</v>
      </c>
      <c r="C49" s="80" t="s">
        <v>138</v>
      </c>
      <c r="D49" s="81"/>
      <c r="E49" s="82"/>
      <c r="F49" s="7"/>
      <c r="G49" s="6"/>
      <c r="H49" s="83"/>
      <c r="I49" s="100"/>
      <c r="J49" s="93"/>
    </row>
    <row r="50" spans="1:10" s="25" customFormat="1" ht="15.75" customHeight="1" x14ac:dyDescent="0.25">
      <c r="A50" s="33" t="str">
        <f>CONCATENATE("mldcat-apsdo:","cell/",ROWS(A$10:A50))</f>
        <v>mldcat-apsdo:cell/41</v>
      </c>
      <c r="B50" s="24" t="s">
        <v>24</v>
      </c>
      <c r="C50" s="80" t="s">
        <v>139</v>
      </c>
      <c r="D50" s="81"/>
      <c r="E50" s="82"/>
      <c r="F50" s="7"/>
      <c r="G50" s="6"/>
      <c r="H50" s="83"/>
      <c r="I50" s="100"/>
      <c r="J50" s="93"/>
    </row>
    <row r="51" spans="1:10" s="25" customFormat="1" ht="15.75" customHeight="1" x14ac:dyDescent="0.25">
      <c r="A51" s="33" t="str">
        <f>CONCATENATE("mldcat-apsdo:","cell/",ROWS(A$10:A51))</f>
        <v>mldcat-apsdo:cell/42</v>
      </c>
      <c r="B51" s="24" t="s">
        <v>24</v>
      </c>
      <c r="C51" s="80" t="s">
        <v>140</v>
      </c>
      <c r="D51" s="81"/>
      <c r="E51" s="82"/>
      <c r="F51" s="7"/>
      <c r="G51" s="6"/>
      <c r="H51" s="83"/>
      <c r="I51" s="100"/>
      <c r="J51" s="93"/>
    </row>
    <row r="52" spans="1:10" s="25" customFormat="1" ht="15.75" customHeight="1" x14ac:dyDescent="0.25">
      <c r="A52" s="33" t="str">
        <f>CONCATENATE("mldcat-apsdo:","cell/",ROWS(A$10:A52))</f>
        <v>mldcat-apsdo:cell/43</v>
      </c>
      <c r="B52" s="24" t="s">
        <v>24</v>
      </c>
      <c r="C52" s="80" t="s">
        <v>81</v>
      </c>
      <c r="D52" s="81"/>
      <c r="E52" s="82"/>
      <c r="F52" s="7"/>
      <c r="G52" s="6"/>
      <c r="H52" s="83"/>
      <c r="I52" s="100"/>
      <c r="J52" s="93"/>
    </row>
    <row r="53" spans="1:10" s="37" customFormat="1" ht="15.75" customHeight="1" x14ac:dyDescent="0.25">
      <c r="A53" s="33" t="str">
        <f>CONCATENATE("mldcat-apsdo:","cell/",ROWS(A$10:A53))</f>
        <v>mldcat-apsdo:cell/44</v>
      </c>
      <c r="B53" s="34" t="s">
        <v>24</v>
      </c>
      <c r="C53" s="45" t="s">
        <v>39</v>
      </c>
      <c r="D53" s="51"/>
      <c r="E53" s="46"/>
      <c r="F53" s="43"/>
      <c r="G53" s="44"/>
      <c r="H53" s="38"/>
      <c r="I53" s="101"/>
      <c r="J53" s="90"/>
    </row>
    <row r="54" spans="1:10" s="37" customFormat="1" ht="15.75" customHeight="1" x14ac:dyDescent="0.25">
      <c r="A54" s="33" t="str">
        <f>CONCATENATE("mldcat-apsdo:","cell/",ROWS(A$10:A54))</f>
        <v>mldcat-apsdo:cell/45</v>
      </c>
      <c r="B54" s="34" t="s">
        <v>24</v>
      </c>
      <c r="C54" s="45" t="s">
        <v>141</v>
      </c>
      <c r="D54" s="53"/>
      <c r="E54" s="46"/>
      <c r="F54" s="52"/>
      <c r="G54" s="44"/>
      <c r="H54" s="38"/>
      <c r="I54" s="99"/>
      <c r="J54" s="90"/>
    </row>
    <row r="55" spans="1:10" s="37" customFormat="1" ht="15.75" customHeight="1" x14ac:dyDescent="0.25">
      <c r="A55" s="33" t="str">
        <f>CONCATENATE("mldcat-apsdo:","cell/",ROWS(A$10:A55))</f>
        <v>mldcat-apsdo:cell/46</v>
      </c>
      <c r="B55" s="34" t="s">
        <v>24</v>
      </c>
      <c r="C55" s="45" t="s">
        <v>40</v>
      </c>
      <c r="D55" s="41"/>
      <c r="E55" s="46"/>
      <c r="F55" s="52"/>
      <c r="G55" s="44"/>
      <c r="H55" s="38"/>
      <c r="I55" s="98"/>
      <c r="J55" s="91"/>
    </row>
    <row r="56" spans="1:10" s="37" customFormat="1" ht="15.75" customHeight="1" x14ac:dyDescent="0.25">
      <c r="A56" s="33" t="str">
        <f>CONCATENATE("mldcat-apsdo:","cell/",ROWS(A$10:A56))</f>
        <v>mldcat-apsdo:cell/47</v>
      </c>
      <c r="B56" s="34" t="s">
        <v>24</v>
      </c>
      <c r="C56" s="45" t="s">
        <v>41</v>
      </c>
      <c r="D56" s="41"/>
      <c r="E56" s="46"/>
      <c r="F56" s="52"/>
      <c r="G56" s="54"/>
      <c r="H56" s="38"/>
      <c r="I56" s="99"/>
      <c r="J56" s="90"/>
    </row>
    <row r="57" spans="1:10" s="37" customFormat="1" ht="15.75" customHeight="1" x14ac:dyDescent="0.25">
      <c r="A57" s="33" t="str">
        <f>CONCATENATE("mldcat-apsdo:","cell/",ROWS(A$10:A57))</f>
        <v>mldcat-apsdo:cell/48</v>
      </c>
      <c r="B57" s="34" t="s">
        <v>24</v>
      </c>
      <c r="C57" s="45" t="s">
        <v>42</v>
      </c>
      <c r="D57" s="41"/>
      <c r="E57" s="46"/>
      <c r="F57" s="52"/>
      <c r="G57" s="54"/>
      <c r="H57" s="38"/>
      <c r="I57" s="99"/>
      <c r="J57" s="90"/>
    </row>
    <row r="58" spans="1:10" s="37" customFormat="1" ht="15.75" customHeight="1" x14ac:dyDescent="0.25">
      <c r="A58" s="33" t="str">
        <f>CONCATENATE("mldcat-apsdo:","cell/",ROWS(A$10:A58))</f>
        <v>mldcat-apsdo:cell/49</v>
      </c>
      <c r="B58" s="34" t="s">
        <v>24</v>
      </c>
      <c r="C58" s="45" t="s">
        <v>43</v>
      </c>
      <c r="D58" s="41"/>
      <c r="E58" s="46"/>
      <c r="F58" s="52"/>
      <c r="G58" s="54"/>
      <c r="H58" s="38"/>
      <c r="I58" s="99"/>
      <c r="J58" s="90"/>
    </row>
    <row r="59" spans="1:10" s="37" customFormat="1" ht="15.75" customHeight="1" x14ac:dyDescent="0.25">
      <c r="A59" s="33" t="str">
        <f>CONCATENATE("mldcat-apsdo:","cell/",ROWS(A$10:A59))</f>
        <v>mldcat-apsdo:cell/50</v>
      </c>
      <c r="B59" s="34" t="s">
        <v>24</v>
      </c>
      <c r="C59" s="45" t="s">
        <v>44</v>
      </c>
      <c r="D59" s="41"/>
      <c r="E59" s="46"/>
      <c r="F59" s="52"/>
      <c r="G59" s="54"/>
      <c r="H59" s="38"/>
      <c r="I59" s="99"/>
      <c r="J59" s="90"/>
    </row>
    <row r="60" spans="1:10" s="37" customFormat="1" ht="15.75" customHeight="1" x14ac:dyDescent="0.25">
      <c r="A60" s="33" t="str">
        <f>CONCATENATE("mldcat-apsdo:","cell/",ROWS(A$10:A60))</f>
        <v>mldcat-apsdo:cell/51</v>
      </c>
      <c r="B60" s="34" t="s">
        <v>24</v>
      </c>
      <c r="C60" s="45" t="s">
        <v>45</v>
      </c>
      <c r="D60" s="48"/>
      <c r="E60" s="55"/>
      <c r="F60" s="52"/>
      <c r="G60" s="56"/>
      <c r="H60" s="38"/>
      <c r="I60" s="99"/>
      <c r="J60" s="90"/>
    </row>
    <row r="61" spans="1:10" s="37" customFormat="1" ht="15.75" customHeight="1" x14ac:dyDescent="0.25">
      <c r="A61" s="33" t="str">
        <f>CONCATENATE("mldcat-apsdo:","cell/",ROWS(A$10:A61))</f>
        <v>mldcat-apsdo:cell/52</v>
      </c>
      <c r="B61" s="34" t="s">
        <v>24</v>
      </c>
      <c r="C61" s="45" t="s">
        <v>46</v>
      </c>
      <c r="D61" s="57"/>
      <c r="E61" s="55"/>
      <c r="F61" s="52"/>
      <c r="G61" s="50"/>
      <c r="H61" s="38"/>
      <c r="I61" s="99"/>
      <c r="J61" s="90"/>
    </row>
    <row r="62" spans="1:10" s="37" customFormat="1" ht="15.75" customHeight="1" x14ac:dyDescent="0.25">
      <c r="A62" s="33" t="str">
        <f>CONCATENATE("mldcat-apsdo:","cell/",ROWS(A$10:A62))</f>
        <v>mldcat-apsdo:cell/53</v>
      </c>
      <c r="B62" s="34" t="s">
        <v>24</v>
      </c>
      <c r="C62" s="37" t="s">
        <v>142</v>
      </c>
      <c r="D62" s="48"/>
      <c r="E62" s="55"/>
      <c r="F62" s="39"/>
      <c r="G62" s="56"/>
      <c r="H62" s="38"/>
      <c r="I62" s="99"/>
      <c r="J62" s="90"/>
    </row>
    <row r="63" spans="1:10" s="37" customFormat="1" ht="15.75" customHeight="1" x14ac:dyDescent="0.25">
      <c r="A63" s="33" t="str">
        <f>CONCATENATE("mldcat-apsdo:","cell/",ROWS(A$10:A63))</f>
        <v>mldcat-apsdo:cell/54</v>
      </c>
      <c r="B63" s="34" t="s">
        <v>24</v>
      </c>
      <c r="C63" s="45" t="s">
        <v>47</v>
      </c>
      <c r="D63" s="53"/>
      <c r="E63" s="55"/>
      <c r="F63" s="39"/>
      <c r="G63" s="56"/>
      <c r="H63" s="38"/>
      <c r="I63" s="99"/>
      <c r="J63" s="90"/>
    </row>
    <row r="64" spans="1:10" s="37" customFormat="1" ht="15.75" customHeight="1" x14ac:dyDescent="0.25">
      <c r="A64" s="33" t="str">
        <f>CONCATENATE("mldcat-apsdo:","cell/",ROWS(A$10:A64))</f>
        <v>mldcat-apsdo:cell/55</v>
      </c>
      <c r="B64" s="34" t="s">
        <v>24</v>
      </c>
      <c r="C64" s="37" t="s">
        <v>143</v>
      </c>
      <c r="D64" s="41"/>
      <c r="E64" s="46"/>
      <c r="F64" s="39"/>
      <c r="G64" s="50"/>
      <c r="H64" s="38"/>
      <c r="I64" s="98"/>
      <c r="J64" s="90"/>
    </row>
    <row r="65" spans="1:10" s="37" customFormat="1" ht="15.75" customHeight="1" x14ac:dyDescent="0.25">
      <c r="A65" s="33" t="str">
        <f>CONCATENATE("mldcat-apsdo:","cell/",ROWS(A$10:A65))</f>
        <v>mldcat-apsdo:cell/56</v>
      </c>
      <c r="B65" s="34" t="s">
        <v>24</v>
      </c>
      <c r="C65" s="39" t="s">
        <v>144</v>
      </c>
      <c r="D65" s="53"/>
      <c r="E65" s="55"/>
      <c r="F65" s="39"/>
      <c r="G65" s="56"/>
      <c r="H65" s="38"/>
      <c r="I65" s="99"/>
      <c r="J65" s="90"/>
    </row>
    <row r="66" spans="1:10" s="37" customFormat="1" ht="15.75" customHeight="1" x14ac:dyDescent="0.25">
      <c r="A66" s="33" t="str">
        <f>CONCATENATE("mldcat-apsdo:","cell/",ROWS(A$10:A66))</f>
        <v>mldcat-apsdo:cell/57</v>
      </c>
      <c r="B66" s="34" t="s">
        <v>24</v>
      </c>
      <c r="C66" s="39" t="s">
        <v>48</v>
      </c>
      <c r="D66" s="53"/>
      <c r="E66" s="55"/>
      <c r="F66" s="39"/>
      <c r="G66" s="56"/>
      <c r="H66" s="38"/>
      <c r="I66" s="99"/>
      <c r="J66" s="90"/>
    </row>
    <row r="67" spans="1:10" s="37" customFormat="1" ht="15.75" customHeight="1" x14ac:dyDescent="0.25">
      <c r="A67" s="33" t="str">
        <f>CONCATENATE("mldcat-apsdo:","cell/",ROWS(A$10:A67))</f>
        <v>mldcat-apsdo:cell/58</v>
      </c>
      <c r="B67" s="34" t="s">
        <v>24</v>
      </c>
      <c r="C67" s="39" t="s">
        <v>49</v>
      </c>
      <c r="D67" s="48"/>
      <c r="E67" s="55"/>
      <c r="F67" s="39"/>
      <c r="G67" s="56"/>
      <c r="H67" s="38"/>
      <c r="I67" s="99"/>
      <c r="J67" s="90"/>
    </row>
    <row r="68" spans="1:10" s="37" customFormat="1" ht="15.75" customHeight="1" x14ac:dyDescent="0.25">
      <c r="A68" s="33" t="str">
        <f>CONCATENATE("mldcat-apsdo:","cell/",ROWS(A$10:A68))</f>
        <v>mldcat-apsdo:cell/59</v>
      </c>
      <c r="B68" s="34" t="s">
        <v>24</v>
      </c>
      <c r="C68" s="45" t="s">
        <v>50</v>
      </c>
      <c r="D68" s="48"/>
      <c r="E68" s="55"/>
      <c r="F68" s="52"/>
      <c r="G68" s="56"/>
      <c r="H68" s="38"/>
      <c r="I68" s="99"/>
      <c r="J68" s="90"/>
    </row>
    <row r="69" spans="1:10" s="37" customFormat="1" ht="15.75" customHeight="1" x14ac:dyDescent="0.25">
      <c r="A69" s="33" t="str">
        <f>CONCATENATE("mldcat-apsdo:","cell/",ROWS(A$10:A69))</f>
        <v>mldcat-apsdo:cell/60</v>
      </c>
      <c r="B69" s="34" t="s">
        <v>24</v>
      </c>
      <c r="C69" s="45" t="s">
        <v>145</v>
      </c>
      <c r="D69" s="41"/>
      <c r="E69" s="46"/>
      <c r="F69" s="52"/>
      <c r="G69" s="54"/>
      <c r="H69" s="38"/>
      <c r="I69" s="98"/>
      <c r="J69" s="90"/>
    </row>
    <row r="70" spans="1:10" s="37" customFormat="1" ht="15.75" customHeight="1" x14ac:dyDescent="0.25">
      <c r="A70" s="33" t="str">
        <f>CONCATENATE("mldcat-apsdo:","cell/",ROWS(A$10:A70))</f>
        <v>mldcat-apsdo:cell/61</v>
      </c>
      <c r="B70" s="34" t="s">
        <v>24</v>
      </c>
      <c r="C70" s="37" t="s">
        <v>146</v>
      </c>
      <c r="D70" s="41"/>
      <c r="E70" s="46"/>
      <c r="F70" s="52"/>
      <c r="G70" s="54"/>
      <c r="H70" s="38"/>
      <c r="I70" s="98"/>
      <c r="J70" s="91"/>
    </row>
    <row r="71" spans="1:10" s="37" customFormat="1" ht="15.75" customHeight="1" x14ac:dyDescent="0.25">
      <c r="A71" s="33" t="str">
        <f>CONCATENATE("mldcat-apsdo:","cell/",ROWS(A$10:A71))</f>
        <v>mldcat-apsdo:cell/62</v>
      </c>
      <c r="B71" s="34" t="s">
        <v>24</v>
      </c>
      <c r="C71" s="45" t="s">
        <v>147</v>
      </c>
      <c r="D71" s="41"/>
      <c r="E71" s="55"/>
      <c r="F71" s="39"/>
      <c r="G71" s="56"/>
      <c r="H71" s="38"/>
      <c r="I71" s="98"/>
      <c r="J71" s="90"/>
    </row>
    <row r="72" spans="1:10" s="37" customFormat="1" ht="26.25" x14ac:dyDescent="0.25">
      <c r="A72" s="33" t="str">
        <f>CONCATENATE("mldcat-apsdo:","cell/",ROWS(A$10:A72))</f>
        <v>mldcat-apsdo:cell/63</v>
      </c>
      <c r="B72" s="34" t="s">
        <v>24</v>
      </c>
      <c r="C72" s="45" t="s">
        <v>148</v>
      </c>
      <c r="D72" s="45" t="s">
        <v>164</v>
      </c>
      <c r="E72" s="46" t="s">
        <v>63</v>
      </c>
      <c r="F72" s="52" t="s">
        <v>65</v>
      </c>
      <c r="G72" s="50" t="s">
        <v>85</v>
      </c>
      <c r="H72" s="38"/>
      <c r="I72" s="102" t="s">
        <v>66</v>
      </c>
      <c r="J72" s="90"/>
    </row>
    <row r="73" spans="1:10" s="25" customFormat="1" ht="15.75" customHeight="1" x14ac:dyDescent="0.25">
      <c r="A73" s="33" t="str">
        <f>CONCATENATE("mldcat-apsdo:","cell/",ROWS(A$10:A73))</f>
        <v>mldcat-apsdo:cell/64</v>
      </c>
      <c r="B73" s="79" t="s">
        <v>24</v>
      </c>
      <c r="C73" s="80" t="s">
        <v>70</v>
      </c>
      <c r="D73" s="84"/>
      <c r="E73" s="82"/>
      <c r="F73" s="85"/>
      <c r="G73" s="86"/>
      <c r="H73" s="83"/>
      <c r="I73" s="100"/>
      <c r="J73" s="93"/>
    </row>
    <row r="74" spans="1:10" s="25" customFormat="1" ht="15.75" customHeight="1" x14ac:dyDescent="0.25">
      <c r="A74" s="33" t="str">
        <f>CONCATENATE("mldcat-apsdo:","cell/",ROWS(A$10:A74))</f>
        <v>mldcat-apsdo:cell/65</v>
      </c>
      <c r="B74" s="79" t="s">
        <v>24</v>
      </c>
      <c r="C74" s="80" t="s">
        <v>81</v>
      </c>
      <c r="D74" s="87"/>
      <c r="E74" s="82"/>
      <c r="F74" s="85"/>
      <c r="G74" s="86"/>
      <c r="H74" s="83"/>
      <c r="I74" s="100"/>
      <c r="J74" s="93"/>
    </row>
    <row r="75" spans="1:10" s="25" customFormat="1" ht="15.75" customHeight="1" x14ac:dyDescent="0.25">
      <c r="A75" s="33" t="str">
        <f>CONCATENATE("mldcat-apsdo:","cell/",ROWS(A$10:A75))</f>
        <v>mldcat-apsdo:cell/66</v>
      </c>
      <c r="B75" s="79" t="s">
        <v>24</v>
      </c>
      <c r="C75" s="80" t="s">
        <v>109</v>
      </c>
      <c r="D75" s="25" t="s">
        <v>165</v>
      </c>
      <c r="E75" s="82" t="s">
        <v>61</v>
      </c>
      <c r="F75" s="85">
        <v>0.7</v>
      </c>
      <c r="G75" s="86" t="s">
        <v>84</v>
      </c>
      <c r="H75" s="83"/>
      <c r="I75" s="100"/>
      <c r="J75" s="108" t="s">
        <v>121</v>
      </c>
    </row>
    <row r="76" spans="1:10" s="37" customFormat="1" ht="15.75" customHeight="1" x14ac:dyDescent="0.25">
      <c r="A76" s="33" t="str">
        <f>CONCATENATE("mldcat-apsdo:","cell/",ROWS(A$10:A76))</f>
        <v>mldcat-apsdo:cell/67</v>
      </c>
      <c r="B76" s="34" t="s">
        <v>24</v>
      </c>
      <c r="C76" s="45" t="s">
        <v>149</v>
      </c>
      <c r="D76" s="41"/>
      <c r="E76" s="55"/>
      <c r="F76" s="39"/>
      <c r="G76" s="56"/>
      <c r="H76" s="38"/>
      <c r="I76" s="99"/>
      <c r="J76" s="90"/>
    </row>
    <row r="77" spans="1:10" s="37" customFormat="1" ht="15.75" customHeight="1" x14ac:dyDescent="0.25">
      <c r="A77" s="33" t="str">
        <f>CONCATENATE("mldcat-apsdo:","cell/",ROWS(A$10:A77))</f>
        <v>mldcat-apsdo:cell/68</v>
      </c>
      <c r="B77" s="34" t="s">
        <v>24</v>
      </c>
      <c r="C77" s="45" t="s">
        <v>150</v>
      </c>
      <c r="D77" s="41"/>
      <c r="E77" s="46"/>
      <c r="F77" s="52"/>
      <c r="G77" s="54"/>
      <c r="H77" s="38"/>
      <c r="I77" s="98"/>
      <c r="J77" s="91"/>
    </row>
    <row r="78" spans="1:10" s="37" customFormat="1" ht="15.75" customHeight="1" x14ac:dyDescent="0.25">
      <c r="A78" s="33" t="str">
        <f>CONCATENATE("mldcat-apsdo:","cell/",ROWS(A$10:A78))</f>
        <v>mldcat-apsdo:cell/69</v>
      </c>
      <c r="B78" s="34" t="s">
        <v>24</v>
      </c>
      <c r="C78" s="45" t="s">
        <v>51</v>
      </c>
      <c r="D78" s="41"/>
      <c r="E78" s="55"/>
      <c r="F78" s="58"/>
      <c r="G78" s="54"/>
      <c r="H78" s="38"/>
      <c r="I78" s="99"/>
      <c r="J78" s="90"/>
    </row>
    <row r="79" spans="1:10" s="37" customFormat="1" ht="15.75" customHeight="1" x14ac:dyDescent="0.25">
      <c r="A79" s="33" t="str">
        <f>CONCATENATE("mldcat-apsdo:","cell/",ROWS(A$10:A79))</f>
        <v>mldcat-apsdo:cell/70</v>
      </c>
      <c r="B79" s="34" t="s">
        <v>24</v>
      </c>
      <c r="C79" s="59" t="s">
        <v>52</v>
      </c>
      <c r="D79" s="60"/>
      <c r="E79" s="61"/>
      <c r="F79" s="43"/>
      <c r="G79" s="62"/>
      <c r="H79" s="63"/>
      <c r="I79" s="103"/>
      <c r="J79" s="94"/>
    </row>
    <row r="80" spans="1:10" s="37" customFormat="1" ht="15.75" customHeight="1" x14ac:dyDescent="0.25">
      <c r="A80" s="33" t="str">
        <f>CONCATENATE("mldcat-apsdo:","cell/",ROWS(A$10:A80))</f>
        <v>mldcat-apsdo:cell/71</v>
      </c>
      <c r="B80" s="34" t="s">
        <v>24</v>
      </c>
      <c r="C80" s="59" t="s">
        <v>53</v>
      </c>
      <c r="D80" s="60"/>
      <c r="E80" s="61"/>
      <c r="F80" s="43"/>
      <c r="G80" s="62"/>
      <c r="H80" s="63"/>
      <c r="I80" s="103"/>
      <c r="J80" s="94"/>
    </row>
    <row r="81" spans="1:10" s="37" customFormat="1" ht="15.75" customHeight="1" x14ac:dyDescent="0.25">
      <c r="A81" s="33" t="str">
        <f>CONCATENATE("mldcat-apsdo:","cell/",ROWS(A$10:A81))</f>
        <v>mldcat-apsdo:cell/72</v>
      </c>
      <c r="B81" s="34" t="s">
        <v>24</v>
      </c>
      <c r="C81" s="39" t="s">
        <v>151</v>
      </c>
      <c r="D81" s="53"/>
      <c r="E81" s="55"/>
      <c r="F81" s="39"/>
      <c r="G81" s="39"/>
      <c r="H81" s="38"/>
      <c r="I81" s="90"/>
      <c r="J81" s="90"/>
    </row>
    <row r="82" spans="1:10" s="37" customFormat="1" ht="15.75" customHeight="1" x14ac:dyDescent="0.25">
      <c r="A82" s="33" t="str">
        <f>CONCATENATE("mldcat-apsdo:","cell/",ROWS(A$10:A82))</f>
        <v>mldcat-apsdo:cell/73</v>
      </c>
      <c r="B82" s="34" t="s">
        <v>24</v>
      </c>
      <c r="C82" s="39" t="s">
        <v>54</v>
      </c>
      <c r="D82" s="41"/>
      <c r="E82" s="55"/>
      <c r="F82" s="43"/>
      <c r="G82" s="47"/>
      <c r="H82" s="38"/>
      <c r="I82" s="91"/>
      <c r="J82" s="90"/>
    </row>
    <row r="83" spans="1:10" s="37" customFormat="1" ht="15.75" customHeight="1" x14ac:dyDescent="0.25">
      <c r="A83" s="33" t="str">
        <f>CONCATENATE("mldcat-apsdo:","cell/",ROWS(A$10:A83))</f>
        <v>mldcat-apsdo:cell/74</v>
      </c>
      <c r="B83" s="34" t="s">
        <v>24</v>
      </c>
      <c r="C83" s="64" t="s">
        <v>152</v>
      </c>
      <c r="D83" s="65"/>
      <c r="E83" s="66"/>
      <c r="F83" s="67"/>
      <c r="G83" s="68"/>
      <c r="H83" s="38"/>
      <c r="I83" s="91"/>
      <c r="J83" s="90"/>
    </row>
    <row r="84" spans="1:10" s="37" customFormat="1" ht="15.75" customHeight="1" x14ac:dyDescent="0.25">
      <c r="A84" s="33" t="str">
        <f>CONCATENATE("mldcat-apsdo:","cell/",ROWS(A$10:A84))</f>
        <v>mldcat-apsdo:cell/75</v>
      </c>
      <c r="B84" s="34" t="s">
        <v>24</v>
      </c>
      <c r="C84" s="37" t="s">
        <v>153</v>
      </c>
      <c r="D84" s="41"/>
      <c r="E84" s="66"/>
      <c r="F84" s="67"/>
      <c r="G84" s="69"/>
      <c r="H84" s="38"/>
      <c r="I84" s="90"/>
      <c r="J84" s="90"/>
    </row>
    <row r="85" spans="1:10" s="37" customFormat="1" ht="15.75" customHeight="1" x14ac:dyDescent="0.25">
      <c r="A85" s="33" t="str">
        <f>CONCATENATE("mldcat-apsdo:","cell/",ROWS(A$10:A85))</f>
        <v>mldcat-apsdo:cell/76</v>
      </c>
      <c r="B85" s="34" t="s">
        <v>24</v>
      </c>
      <c r="C85" s="70" t="s">
        <v>154</v>
      </c>
      <c r="D85" s="65"/>
      <c r="E85" s="66"/>
      <c r="F85" s="67"/>
      <c r="G85" s="64"/>
      <c r="H85" s="38"/>
      <c r="I85" s="90"/>
      <c r="J85" s="90"/>
    </row>
    <row r="86" spans="1:10" s="37" customFormat="1" ht="15.75" customHeight="1" x14ac:dyDescent="0.25">
      <c r="A86" s="33" t="str">
        <f>CONCATENATE("mldcat-apsdo:","cell/",ROWS(A$10:A86))</f>
        <v>mldcat-apsdo:cell/77</v>
      </c>
      <c r="B86" s="34" t="s">
        <v>24</v>
      </c>
      <c r="C86" s="70" t="s">
        <v>55</v>
      </c>
      <c r="D86" s="65"/>
      <c r="E86" s="71"/>
      <c r="F86" s="72"/>
      <c r="G86" s="73"/>
      <c r="H86" s="38"/>
      <c r="I86" s="90"/>
      <c r="J86" s="90"/>
    </row>
    <row r="87" spans="1:10" s="37" customFormat="1" ht="15.75" customHeight="1" x14ac:dyDescent="0.25">
      <c r="A87" s="33" t="str">
        <f>CONCATENATE("mldcat-apsdo:","cell/",ROWS(A$10:A87))</f>
        <v>mldcat-apsdo:cell/78</v>
      </c>
      <c r="B87" s="34" t="s">
        <v>24</v>
      </c>
      <c r="C87" s="74" t="s">
        <v>155</v>
      </c>
      <c r="D87" s="41"/>
      <c r="E87" s="71"/>
      <c r="F87" s="72"/>
      <c r="G87" s="73"/>
      <c r="H87" s="38"/>
      <c r="I87" s="90"/>
      <c r="J87" s="90"/>
    </row>
    <row r="88" spans="1:10" s="37" customFormat="1" ht="15.75" customHeight="1" x14ac:dyDescent="0.25">
      <c r="A88" s="33" t="str">
        <f>CONCATENATE("mldcat-apsdo:","cell/",ROWS(A$10:A88))</f>
        <v>mldcat-apsdo:cell/79</v>
      </c>
      <c r="B88" s="34" t="s">
        <v>24</v>
      </c>
      <c r="C88" s="74" t="s">
        <v>156</v>
      </c>
      <c r="D88" s="65"/>
      <c r="E88" s="71"/>
      <c r="F88" s="72"/>
      <c r="G88" s="73"/>
      <c r="H88" s="38"/>
      <c r="I88" s="90"/>
      <c r="J88" s="91"/>
    </row>
    <row r="89" spans="1:10" s="37" customFormat="1" ht="15.75" customHeight="1" x14ac:dyDescent="0.25">
      <c r="A89" s="33" t="str">
        <f>CONCATENATE("mldcat-apsdo:","cell/",ROWS(A$10:A89))</f>
        <v>mldcat-apsdo:cell/80</v>
      </c>
      <c r="B89" s="34" t="s">
        <v>24</v>
      </c>
      <c r="C89" s="59" t="s">
        <v>56</v>
      </c>
      <c r="D89" s="75"/>
      <c r="E89" s="76"/>
      <c r="F89" s="77"/>
      <c r="G89" s="78"/>
      <c r="H89" s="63"/>
      <c r="I89" s="94"/>
      <c r="J89" s="95"/>
    </row>
    <row r="90" spans="1:10" s="37" customFormat="1" ht="15.75" customHeight="1" x14ac:dyDescent="0.25">
      <c r="A90" s="33" t="str">
        <f>CONCATENATE("mldcat-apsdo:","cell/",ROWS(A$10:A90))</f>
        <v>mldcat-apsdo:cell/81</v>
      </c>
      <c r="B90" s="34" t="s">
        <v>24</v>
      </c>
      <c r="C90" s="39" t="s">
        <v>57</v>
      </c>
      <c r="D90" s="53"/>
      <c r="E90" s="55"/>
      <c r="F90" s="39"/>
      <c r="G90" s="39"/>
      <c r="H90" s="38"/>
      <c r="I90" s="90"/>
      <c r="J90" s="90"/>
    </row>
    <row r="91" spans="1:10" s="37" customFormat="1" ht="15.75" customHeight="1" x14ac:dyDescent="0.25">
      <c r="A91" s="33" t="str">
        <f>CONCATENATE("mldcat-apsdo:","cell/",ROWS(A$10:A91))</f>
        <v>mldcat-apsdo:cell/82</v>
      </c>
      <c r="B91" s="34" t="s">
        <v>24</v>
      </c>
      <c r="C91" s="39" t="s">
        <v>58</v>
      </c>
      <c r="D91" s="65"/>
      <c r="E91" s="71"/>
      <c r="F91" s="67"/>
      <c r="G91" s="64"/>
      <c r="H91" s="38"/>
      <c r="I91" s="90"/>
      <c r="J91" s="90"/>
    </row>
    <row r="92" spans="1:10" s="37" customFormat="1" ht="15.75" customHeight="1" x14ac:dyDescent="0.25">
      <c r="A92" s="33" t="str">
        <f>CONCATENATE("mldcat-apsdo:","cell/",ROWS(A$10:A92))</f>
        <v>mldcat-apsdo:cell/83</v>
      </c>
      <c r="B92" s="34" t="s">
        <v>24</v>
      </c>
      <c r="C92" s="39" t="s">
        <v>59</v>
      </c>
      <c r="D92" s="65"/>
      <c r="E92" s="71"/>
      <c r="F92" s="67"/>
      <c r="G92" s="64"/>
      <c r="H92" s="38"/>
      <c r="I92" s="90"/>
      <c r="J92" s="90"/>
    </row>
    <row r="93" spans="1:10" s="37" customFormat="1" ht="15.75" customHeight="1" x14ac:dyDescent="0.25">
      <c r="A93" s="33" t="str">
        <f>CONCATENATE("mldcat-apsdo:","cell/",ROWS(A$10:A93))</f>
        <v>mldcat-apsdo:cell/84</v>
      </c>
      <c r="B93" s="34" t="s">
        <v>24</v>
      </c>
      <c r="C93" s="39" t="s">
        <v>60</v>
      </c>
      <c r="D93" s="65"/>
      <c r="E93" s="71"/>
      <c r="F93" s="67"/>
      <c r="G93" s="64"/>
      <c r="H93" s="38"/>
      <c r="I93" s="90"/>
      <c r="J93" s="90"/>
    </row>
    <row r="94" spans="1:10" s="37" customFormat="1" ht="15.75" customHeight="1" x14ac:dyDescent="0.25">
      <c r="A94" s="33" t="str">
        <f>CONCATENATE("mldcat-apsdo:","cell/",ROWS(A$10:A94))</f>
        <v>mldcat-apsdo:cell/85</v>
      </c>
      <c r="B94" s="34" t="s">
        <v>24</v>
      </c>
      <c r="C94" s="39" t="s">
        <v>157</v>
      </c>
      <c r="D94" s="65"/>
      <c r="E94" s="71"/>
      <c r="F94" s="67"/>
      <c r="G94" s="64"/>
      <c r="H94" s="38"/>
      <c r="I94" s="90"/>
      <c r="J94" s="90"/>
    </row>
    <row r="95" spans="1:10" s="37" customFormat="1" ht="15.75" customHeight="1" x14ac:dyDescent="0.25">
      <c r="A95" s="33" t="str">
        <f>CONCATENATE("mldcat-apsdo:","cell/",ROWS(A$10:A95))</f>
        <v>mldcat-apsdo:cell/86</v>
      </c>
      <c r="B95" s="34" t="s">
        <v>24</v>
      </c>
      <c r="C95" s="39" t="s">
        <v>158</v>
      </c>
      <c r="D95" s="65"/>
      <c r="E95" s="71"/>
      <c r="F95" s="67"/>
      <c r="G95" s="64"/>
      <c r="H95" s="38"/>
      <c r="I95" s="90"/>
      <c r="J95" s="90"/>
    </row>
    <row r="96" spans="1:10" s="37" customFormat="1" ht="15.75" customHeight="1" x14ac:dyDescent="0.25">
      <c r="A96" s="33" t="str">
        <f>CONCATENATE("mldcat-apsdo:","cell/",ROWS(A$10:A96))</f>
        <v>mldcat-apsdo:cell/87</v>
      </c>
      <c r="B96" s="34" t="s">
        <v>24</v>
      </c>
      <c r="C96" s="39" t="s">
        <v>159</v>
      </c>
      <c r="D96" s="36"/>
      <c r="E96" s="71"/>
      <c r="F96" s="67"/>
      <c r="G96" s="64"/>
      <c r="H96" s="38"/>
      <c r="I96" s="90"/>
      <c r="J96" s="90"/>
    </row>
    <row r="97" spans="1:10" s="37" customFormat="1" ht="15.75" customHeight="1" x14ac:dyDescent="0.25">
      <c r="A97" s="33" t="str">
        <f>CONCATENATE("mldcat-apsdo:","cell/",ROWS(A$10:A97))</f>
        <v>mldcat-apsdo:cell/88</v>
      </c>
      <c r="B97" s="34" t="s">
        <v>24</v>
      </c>
      <c r="C97" s="39" t="s">
        <v>160</v>
      </c>
      <c r="D97" s="65"/>
      <c r="E97" s="71"/>
      <c r="F97" s="67"/>
      <c r="G97" s="64"/>
      <c r="H97" s="38"/>
      <c r="I97" s="90"/>
      <c r="J97" s="90"/>
    </row>
    <row r="98" spans="1:10" s="37" customFormat="1" ht="15.75" customHeight="1" x14ac:dyDescent="0.25">
      <c r="A98" s="33" t="str">
        <f>CONCATENATE("mldcat-apsdo:","cell/",ROWS(A$10:A98))</f>
        <v>mldcat-apsdo:cell/89</v>
      </c>
      <c r="B98" s="34" t="s">
        <v>24</v>
      </c>
      <c r="C98" s="39" t="s">
        <v>161</v>
      </c>
      <c r="D98" s="65"/>
      <c r="E98" s="71"/>
      <c r="F98" s="67"/>
      <c r="G98" s="64"/>
      <c r="H98" s="38"/>
      <c r="I98" s="90"/>
      <c r="J98" s="90"/>
    </row>
    <row r="99" spans="1:10" s="37" customFormat="1" ht="15.75" customHeight="1" x14ac:dyDescent="0.25">
      <c r="A99" s="33" t="str">
        <f>CONCATENATE("mldcat-apsdo:","cell/",ROWS(A$10:A99))</f>
        <v>mldcat-apsdo:cell/90</v>
      </c>
      <c r="B99" s="34" t="s">
        <v>24</v>
      </c>
      <c r="C99" s="39" t="s">
        <v>162</v>
      </c>
      <c r="D99" s="65"/>
      <c r="E99" s="71"/>
      <c r="F99" s="67"/>
      <c r="G99" s="64"/>
      <c r="H99" s="38"/>
      <c r="I99" s="90"/>
      <c r="J99" s="90"/>
    </row>
  </sheetData>
  <hyperlinks>
    <hyperlink ref="C6" r:id="rId1" xr:uid="{DA96D9BE-6BBA-42CD-AB15-3FB79121F791}"/>
    <hyperlink ref="C7" r:id="rId2" xr:uid="{1D5B0A6D-CF93-403E-AE2D-6398FD5A1985}"/>
    <hyperlink ref="D72" r:id="rId3" display="http://mlcommons.org/croissant/Field" xr:uid="{6AF96B99-D1D7-4488-92CE-AD37B117E097}"/>
    <hyperlink ref="D13" r:id="rId4" xr:uid="{EA45874D-8420-4553-B45A-4DC01F5CC77A}"/>
  </hyperlinks>
  <pageMargins left="0.7" right="0.7" top="0.75" bottom="0.75" header="0.3" footer="0.3"/>
  <pageSetup paperSize="9" orientation="portrait" r:id="rId5"/>
  <legacy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EFB2A585EFEB438A74F703037745A4" ma:contentTypeVersion="22" ma:contentTypeDescription="Create a new document." ma:contentTypeScope="" ma:versionID="066928f5f756ae6a0953337b70a1faf9">
  <xsd:schema xmlns:xsd="http://www.w3.org/2001/XMLSchema" xmlns:xs="http://www.w3.org/2001/XMLSchema" xmlns:p="http://schemas.microsoft.com/office/2006/metadata/properties" xmlns:ns2="bf3f9575-65b8-4549-b389-33a18b8943d7" xmlns:ns3="21f64c02-1f20-443d-801b-ae17df5c4a0a" targetNamespace="http://schemas.microsoft.com/office/2006/metadata/properties" ma:root="true" ma:fieldsID="9a35f3283c960054123670de2c4a4632" ns2:_="" ns3:_="">
    <xsd:import namespace="bf3f9575-65b8-4549-b389-33a18b8943d7"/>
    <xsd:import namespace="21f64c02-1f20-443d-801b-ae17df5c4a0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Location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3f9575-65b8-4549-b389-33a18b8943d7" elementFormDefault="qualified">
    <xsd:import namespace="http://schemas.microsoft.com/office/2006/documentManagement/types"/>
    <xsd:import namespace="http://schemas.microsoft.com/office/infopath/2007/PartnerControls"/>
    <xsd:element name="SharedWithUsers" ma:index="4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7c7bc177-ce74-4802-8951-60fdc00c6e55}" ma:internalName="TaxCatchAll" ma:showField="CatchAllData" ma:web="bf3f9575-65b8-4549-b389-33a18b8943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f64c02-1f20-443d-801b-ae17df5c4a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7bde53e-b0a2-4e98-8550-8a152603f3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f64c02-1f20-443d-801b-ae17df5c4a0a">
      <Terms xmlns="http://schemas.microsoft.com/office/infopath/2007/PartnerControls"/>
    </lcf76f155ced4ddcb4097134ff3c332f>
    <TaxCatchAll xmlns="bf3f9575-65b8-4549-b389-33a18b8943d7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AF26A884-F23F-41CC-B636-5EE822504D8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04ED1CA-F6F9-4DA5-81E1-6507F4060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3f9575-65b8-4549-b389-33a18b8943d7"/>
    <ds:schemaRef ds:uri="21f64c02-1f20-443d-801b-ae17df5c4a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D14A064-93B1-4946-A564-37CCD13BE679}">
  <ds:schemaRefs>
    <ds:schemaRef ds:uri="http://schemas.microsoft.com/office/2006/documentManagement/types"/>
    <ds:schemaRef ds:uri="21f64c02-1f20-443d-801b-ae17df5c4a0a"/>
    <ds:schemaRef ds:uri="http://purl.org/dc/elements/1.1/"/>
    <ds:schemaRef ds:uri="http://schemas.microsoft.com/office/2006/metadata/properties"/>
    <ds:schemaRef ds:uri="http://purl.org/dc/terms/"/>
    <ds:schemaRef ds:uri="http://purl.org/dc/dcmitype/"/>
    <ds:schemaRef ds:uri="bf3f9575-65b8-4549-b389-33a18b8943d7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A2D3D0B7-1399-49C1-B3F3-4E8CA98AE7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alignment</vt:lpstr>
      <vt:lpstr>mapping</vt:lpstr>
      <vt:lpstr>baseuri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Emidio Stani</dc:creator>
  <cp:lastModifiedBy>Arthur Schiltz (BE)</cp:lastModifiedBy>
  <dcterms:created xsi:type="dcterms:W3CDTF">2023-01-25T20:20:49Z</dcterms:created>
  <dcterms:modified xsi:type="dcterms:W3CDTF">2024-04-25T14:56:35Z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0x0101007AEFB2A585EFEB438A74F703037745A4</vt:lpwstr>
  </property>
  <property fmtid="{D5CDD505-2E9C-101B-9397-08002B2CF9AE}" pid="3" name="MediaServiceImageTags">
    <vt:lpwstr/>
  </property>
</Properties>
</file>