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estani002\Documents\GitHub\Semantic-Mappings\Core Person\Schema.org\"/>
    </mc:Choice>
  </mc:AlternateContent>
  <xr:revisionPtr revIDLastSave="0" documentId="13_ncr:1_{8C8E6B68-C86F-4D47-A0F3-03BEE9152111}" xr6:coauthVersionLast="47" xr6:coauthVersionMax="47" xr10:uidLastSave="{00000000-0000-0000-0000-000000000000}"/>
  <bookViews>
    <workbookView xWindow="-110" yWindow="-110" windowWidth="19420" windowHeight="11500" activeTab="1"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6" i="2" l="1"/>
  <c r="A57" i="2"/>
  <c r="A58" i="2"/>
  <c r="A59" i="2"/>
  <c r="A55" i="2"/>
  <c r="A51" i="2" l="1"/>
  <c r="A9" i="2" l="1"/>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2" i="2"/>
  <c r="A53" i="2"/>
  <c r="A54" i="2"/>
  <c r="A8" i="2"/>
  <c r="E13" i="1" a="1"/>
  <c r="E13"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<sst xmlns="http://schemas.openxmlformats.org/spreadsheetml/2006/main" count="336" uniqueCount="130">
  <si>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</si>
  <si>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</si>
  <si>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</si>
  <si>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</si>
  <si>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</si>
  <si>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</si>
  <si>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</si>
  <si>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</si>
  <si>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</si>
  <si>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</si>
  <si>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</si>
  <si>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dct:title</t>
  </si>
  <si>
    <t>dct:description</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</si>
  <si>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</si>
  <si>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</si>
  <si>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</si>
  <si>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</si>
  <si>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</si>
  <si>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</si>
  <si>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</si>
  <si>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</si>
  <si>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</si>
  <si>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</si>
  <si>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</si>
  <si>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</si>
  <si>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t>
  </si>
  <si>
    <t>owl:equivalentClass</t>
  </si>
  <si>
    <t>http://www.w3.org/ns/locn#Address</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</si>
  <si>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</si>
  <si>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</si>
  <si>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</si>
  <si>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</si>
  <si>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</si>
  <si>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</si>
  <si>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</si>
  <si>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http://www.w3.org/ns/locn#poBox</t>
  </si>
  <si>
    <t>http://www.w3.org/ns/locn#postCode</t>
  </si>
  <si>
    <t>http://www.w3.org/ns/locn#postName</t>
  </si>
  <si>
    <t>http://www.w3.org/ns/locn#thoroughfare</t>
  </si>
  <si>
    <t>&lt;</t>
  </si>
  <si>
    <t>rdfs:subPropertyOf</t>
  </si>
  <si>
    <t>owl:equivalentProperty</t>
  </si>
  <si>
    <t>https://schema.org/postalCode</t>
  </si>
  <si>
    <t>dct:publisher</t>
  </si>
  <si>
    <t>https://schema.org/</t>
  </si>
  <si>
    <t>https://schema.org/PostalAddress</t>
  </si>
  <si>
    <t>https://schema.org/identifier</t>
  </si>
  <si>
    <t>https://schema.org/addressCountry</t>
  </si>
  <si>
    <t>https://schema.org/addressRegion</t>
  </si>
  <si>
    <t>https://schema.org/streetAddress</t>
  </si>
  <si>
    <t>https://schema.org/postOfficeBoxNumber</t>
  </si>
  <si>
    <t>https://schema.org/addressLocality</t>
  </si>
  <si>
    <t>https://schema.org/location</t>
  </si>
  <si>
    <t>https://schema.org/address</t>
  </si>
  <si>
    <t>rdfs:comment</t>
  </si>
  <si>
    <t>http://data.europa.eu/m8g/</t>
  </si>
  <si>
    <t>sssom:mapping_justification</t>
  </si>
  <si>
    <t>semapv</t>
  </si>
  <si>
    <t>https://w3id.org/semapv/vocab/</t>
  </si>
  <si>
    <t>semapv:MappingReview</t>
  </si>
  <si>
    <t>owl:annotatedProperty</t>
  </si>
  <si>
    <t>http://www.w3.org/ns/adms#Identifier</t>
  </si>
  <si>
    <t>http://purl.org/dc/terms/issued</t>
  </si>
  <si>
    <t>http://data.europa.eu/m8g/identifies</t>
  </si>
  <si>
    <t>http://www.w3.org/ns/adms#schemeAgency</t>
  </si>
  <si>
    <t>http://www.w3.org/2004/02/skos/core#notation</t>
  </si>
  <si>
    <t>http://www.w3.org/2000/01/rdf-schema#label</t>
  </si>
  <si>
    <t>http://purl.org/dc/terms/conformsTo</t>
  </si>
  <si>
    <t>http://purl.org/dc/terms/alternative</t>
  </si>
  <si>
    <t>http://purl.org/dc/terms/identifier</t>
  </si>
  <si>
    <t>https://schema.org/alternateName</t>
  </si>
  <si>
    <t>The target entity can have multiple values</t>
  </si>
  <si>
    <t>If schema:location is expressed as Text, locatorName could be equivalent.</t>
  </si>
  <si>
    <t>https://schema.org/name</t>
  </si>
  <si>
    <t>https://schema.org/AdministrativeArea</t>
  </si>
  <si>
    <t>In Core Location addressArea is for a part of city while schema:addressLocality could indicate a city.</t>
  </si>
  <si>
    <t>http://mapping.semic.eu/cper/sdo</t>
  </si>
  <si>
    <t>cpersdo</t>
  </si>
  <si>
    <t>http://mapping.semic.eu/cper/sdo/</t>
  </si>
  <si>
    <t>Alignment of Core Person with Schema.org</t>
  </si>
  <si>
    <t>It describes an alignment between Core Person and Schema.org.
The spreadsheet can be converted in RDF format using SKOS Play!. The RDF format are based on the Aligment Format and on SSSOM.</t>
  </si>
  <si>
    <t>http://purl.org/dc/terms/Location</t>
  </si>
  <si>
    <t>https://schema.org/Place</t>
  </si>
  <si>
    <t>http://www.w3.org/2000/01/rdf-schema#seeAlso</t>
  </si>
  <si>
    <t>http://www.w3.org/ns/locn#geographicName</t>
  </si>
  <si>
    <t>http://purl.org/dc/terms/creator</t>
  </si>
  <si>
    <t>http://xmlns.com/foaf/0.1/Agent</t>
  </si>
  <si>
    <t>http://purl.org/dc/terms/Jurisdiction</t>
  </si>
  <si>
    <t>In Core Person it denotes the identifier of a Jurisdiction</t>
  </si>
  <si>
    <t>https://schema.org/Person</t>
  </si>
  <si>
    <t>http://xmlns.com/foaf/0.1/Person</t>
  </si>
  <si>
    <t>http://www.w3.org/ns/person#birthName</t>
  </si>
  <si>
    <t>http://purl.org/dc/terms/citizenship</t>
  </si>
  <si>
    <t>http://www.w3.org/ns/person#countryOfBirth</t>
  </si>
  <si>
    <t>https://schema.org/birthPlace</t>
  </si>
  <si>
    <t>http://www.w3.org/ns/person#countryOfDeath</t>
  </si>
  <si>
    <t>https://schema.org/deathPlace</t>
  </si>
  <si>
    <t>http://data.europa.eu/m8g/birthDate</t>
  </si>
  <si>
    <t>https://schema.org/birthDate</t>
  </si>
  <si>
    <t>http://data.europa.eu/m8g/deathDate</t>
  </si>
  <si>
    <t>https://schema.org/deathDate</t>
  </si>
  <si>
    <t>http://data.europa.eu/m8g/domicile</t>
  </si>
  <si>
    <t>http://xmlns.com/foaf/0.1/familyName</t>
  </si>
  <si>
    <t>https://schema.org/familyName</t>
  </si>
  <si>
    <t>http://xmlns.com/foaf/0.1/name</t>
  </si>
  <si>
    <t>In Core Person it denotes the full name of a Person</t>
  </si>
  <si>
    <t>In Core Person it denotes the alternative name of a Person</t>
  </si>
  <si>
    <t>http://data.europa.eu/m8g/gender</t>
  </si>
  <si>
    <t>https://schema.org/gender</t>
  </si>
  <si>
    <t>http://xmlns.com/foaf/0.1/givenName</t>
  </si>
  <si>
    <t>https://schema.org/givenName</t>
  </si>
  <si>
    <t>In Core Person it denotes the identifier of a Person</t>
  </si>
  <si>
    <t>http://data.europa.eu/m8g/matronymicName</t>
  </si>
  <si>
    <t>http://www.w3.org/ns/person#patronymicName</t>
  </si>
  <si>
    <t>http://www.w3.org/ns/person#placeOfBirth</t>
  </si>
  <si>
    <t>http://www.w3.org/ns/person#placeOfDeath</t>
  </si>
  <si>
    <t>http://www.w3.org/ns/person#residency</t>
  </si>
  <si>
    <t>http://data.europa.eu/m8g/sex</t>
  </si>
  <si>
    <t>http://data.europa.eu/m8g/contactPoint</t>
  </si>
  <si>
    <t>https://schema.org/contactPoint</t>
  </si>
  <si>
    <t>http://data.europa.eu/m8g/ContactPoint</t>
  </si>
  <si>
    <t>https://schema.org/ContactPoint</t>
  </si>
  <si>
    <t>http://data.europa.eu/m8g/contactPage</t>
  </si>
  <si>
    <t>https://schema.org/mainEntityOfPage</t>
  </si>
  <si>
    <t>http://data.europa.eu/m8g/email</t>
  </si>
  <si>
    <t>https://schema.org/email</t>
  </si>
  <si>
    <t>http://data.europa.eu/m8g/telephone</t>
  </si>
  <si>
    <t>https://schema.org/telephone</t>
  </si>
  <si>
    <t>2.1.1</t>
  </si>
  <si>
    <t>26.0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</si>
</sst>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7"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
      <strike/>
      <sz val="10"/>
      <color theme="1"/>
      <name val="Arial"/>
      <family val="2"/>
    </font>
  </fonts>
  <fills count="3">
    <fill>
      <patternFill patternType="none"/>
    </fill>
    <fill>
      <patternFill patternType="gray125"/>
    </fill>
    <fill>
      <patternFill patternType="solid">
        <fgColor theme="6" tint="0.39997558519241921"/>
        <bgColor indexed="64"/>
      </patternFill>
    </fill>
  </fills>
  <borders count="18">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0" fillId="0" borderId="0" applyNumberFormat="0" applyFill="0" applyBorder="0" applyAlignment="0" applyProtection="0"/>
    <xf numFmtId="0" fontId="13" fillId="0" borderId="0"/>
  </cellStyleXfs>
  <cellXfs count="88">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165" fontId="2" fillId="0" borderId="3" xfId="0" applyNumberFormat="1" applyFont="1" applyBorder="1" applyAlignment="1">
      <alignment horizontal="right"/>
    </xf>
    <xf numFmtId="0" fontId="0" fillId="0" borderId="8" xfId="0" applyBorder="1"/>
    <xf numFmtId="0" fontId="2" fillId="0" borderId="8" xfId="0" applyFont="1" applyBorder="1"/>
    <xf numFmtId="0" fontId="0" fillId="0" borderId="8" xfId="0" quotePrefix="1" applyBorder="1"/>
    <xf numFmtId="0" fontId="10" fillId="0" borderId="0" xfId="1" applyAlignment="1"/>
    <xf numFmtId="0" fontId="9" fillId="0" borderId="9" xfId="0" applyFont="1" applyBorder="1"/>
    <xf numFmtId="0" fontId="10" fillId="0" borderId="8" xfId="1" applyBorder="1" applyAlignment="1"/>
    <xf numFmtId="0" fontId="13" fillId="0" borderId="8" xfId="0" applyFont="1" applyBorder="1" applyAlignment="1">
      <alignment horizontal="center"/>
    </xf>
    <xf numFmtId="0" fontId="0" fillId="0" borderId="0" xfId="0" applyAlignment="1">
      <alignment horizontal="center"/>
    </xf>
    <xf numFmtId="165" fontId="2" fillId="0" borderId="8" xfId="0" applyNumberFormat="1" applyFont="1" applyBorder="1" applyAlignment="1">
      <alignment horizontal="right"/>
    </xf>
    <xf numFmtId="0" fontId="10" fillId="0" borderId="1" xfId="1" applyBorder="1" applyAlignment="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12" fillId="2" borderId="3" xfId="0" applyFont="1" applyFill="1" applyBorder="1"/>
    <xf numFmtId="0" fontId="2" fillId="0" borderId="8" xfId="0" applyFont="1" applyBorder="1" applyAlignment="1">
      <alignment horizontal="center"/>
    </xf>
    <xf numFmtId="0" fontId="2" fillId="0" borderId="4" xfId="0" applyFont="1" applyBorder="1"/>
    <xf numFmtId="0" fontId="8" fillId="0" borderId="8"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2" fillId="0" borderId="8" xfId="0" quotePrefix="1" applyFont="1" applyBorder="1" applyAlignment="1">
      <alignment horizontal="center"/>
    </xf>
    <xf numFmtId="0" fontId="16" fillId="0" borderId="8" xfId="0" quotePrefix="1" applyFont="1" applyBorder="1" applyAlignment="1">
      <alignment horizontal="center"/>
    </xf>
    <xf numFmtId="0" fontId="13" fillId="0" borderId="11" xfId="0" applyFont="1" applyBorder="1"/>
    <xf numFmtId="0" fontId="13" fillId="0" borderId="10" xfId="0" applyFont="1" applyBorder="1"/>
    <xf numFmtId="0" fontId="0" fillId="0" borderId="8" xfId="0" applyBorder="1" applyAlignment="1">
      <alignment horizontal="center"/>
    </xf>
    <xf numFmtId="0" fontId="0" fillId="0" borderId="10" xfId="0" applyBorder="1"/>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0" fillId="0" borderId="12" xfId="0" applyBorder="1"/>
    <xf numFmtId="0" fontId="1" fillId="2" borderId="12" xfId="0" applyFont="1" applyFill="1" applyBorder="1"/>
    <xf numFmtId="0" fontId="13" fillId="0" borderId="12" xfId="0" applyFont="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0" fontId="14" fillId="0" borderId="12" xfId="0" applyFont="1" applyBorder="1"/>
    <xf numFmtId="0" fontId="2" fillId="0" borderId="12" xfId="0" applyFont="1" applyBorder="1" applyAlignment="1">
      <alignment horizontal="center"/>
    </xf>
    <xf numFmtId="0" fontId="1" fillId="0" borderId="13" xfId="0" applyFont="1" applyBorder="1"/>
    <xf numFmtId="0" fontId="2" fillId="0" borderId="0" xfId="0" applyFont="1"/>
    <xf numFmtId="0" fontId="10" fillId="0" borderId="14" xfId="1" applyBorder="1" applyAlignment="1"/>
    <xf numFmtId="0" fontId="2" fillId="0" borderId="15" xfId="0" applyFont="1" applyBorder="1"/>
    <xf numFmtId="0" fontId="0" fillId="0" borderId="15" xfId="0" quotePrefix="1" applyBorder="1"/>
    <xf numFmtId="0" fontId="10" fillId="0" borderId="15" xfId="1" applyBorder="1" applyAlignment="1"/>
    <xf numFmtId="0" fontId="12" fillId="2" borderId="8" xfId="0" applyFont="1" applyFill="1" applyBorder="1"/>
    <xf numFmtId="0" fontId="10" fillId="0" borderId="8" xfId="1" applyBorder="1"/>
    <xf numFmtId="0" fontId="13" fillId="0" borderId="16" xfId="0" applyFont="1" applyBorder="1"/>
    <xf numFmtId="0" fontId="0" fillId="0" borderId="0" xfId="0"/>
    <xf numFmtId="0" fontId="2" fillId="0" borderId="7" xfId="0" applyFont="1" applyBorder="1"/>
    <xf numFmtId="165" fontId="2" fillId="0" borderId="3" xfId="0" applyNumberFormat="1" applyFont="1" applyBorder="1" applyAlignment="1">
      <alignment horizontal="right"/>
    </xf>
    <xf numFmtId="0" fontId="0" fillId="0" borderId="8" xfId="0" applyBorder="1"/>
    <xf numFmtId="0" fontId="2" fillId="0" borderId="8" xfId="0" applyFont="1" applyBorder="1"/>
    <xf numFmtId="0" fontId="0" fillId="0" borderId="8" xfId="0" quotePrefix="1" applyBorder="1"/>
    <xf numFmtId="0" fontId="10" fillId="0" borderId="0" xfId="1" applyAlignment="1"/>
    <xf numFmtId="0" fontId="10" fillId="0" borderId="8" xfId="1" applyBorder="1" applyAlignment="1"/>
    <xf numFmtId="0" fontId="13" fillId="0" borderId="8" xfId="0" applyFont="1" applyBorder="1" applyAlignment="1">
      <alignment horizontal="center"/>
    </xf>
    <xf numFmtId="0" fontId="13" fillId="0" borderId="8" xfId="0" quotePrefix="1" applyFont="1" applyBorder="1"/>
    <xf numFmtId="0" fontId="13" fillId="0" borderId="10" xfId="0" applyFont="1" applyBorder="1"/>
    <xf numFmtId="0" fontId="0" fillId="0" borderId="8" xfId="0" applyBorder="1" applyAlignment="1">
      <alignment horizontal="center"/>
    </xf>
    <xf numFmtId="0" fontId="0" fillId="0" borderId="10" xfId="0" applyBorder="1"/>
    <xf numFmtId="0" fontId="13" fillId="0" borderId="8" xfId="0" applyFont="1" applyBorder="1"/>
    <xf numFmtId="0" fontId="13" fillId="0" borderId="12" xfId="0" applyFont="1" applyBorder="1"/>
    <xf numFmtId="0" fontId="15" fillId="0" borderId="9" xfId="0" applyFont="1" applyBorder="1"/>
    <xf numFmtId="0" fontId="0" fillId="0" borderId="16" xfId="0" applyBorder="1"/>
    <xf numFmtId="0" fontId="13" fillId="0" borderId="8" xfId="2" applyBorder="1"/>
    <xf numFmtId="0" fontId="13" fillId="0" borderId="8" xfId="2" applyBorder="1" applyAlignment="1">
      <alignment horizontal="center"/>
    </xf>
    <xf numFmtId="165" fontId="2" fillId="0" borderId="8" xfId="2" applyNumberFormat="1" applyFont="1" applyBorder="1" applyAlignment="1">
      <alignment horizontal="right"/>
    </xf>
    <xf numFmtId="0" fontId="13" fillId="0" borderId="17" xfId="2" applyBorder="1"/>
    <xf numFmtId="0" fontId="2" fillId="0" borderId="7" xfId="2" applyFont="1" applyBorder="1"/>
    <xf numFmtId="165" fontId="2" fillId="0" borderId="3" xfId="2" applyNumberFormat="1" applyFont="1" applyBorder="1" applyAlignment="1">
      <alignment horizontal="right"/>
    </xf>
    <xf numFmtId="0" fontId="13" fillId="0" borderId="10" xfId="2" applyBorder="1"/>
    <xf numFmtId="0" fontId="13" fillId="0" borderId="8" xfId="2" quotePrefix="1" applyBorder="1"/>
    <xf numFmtId="0" fontId="5" fillId="0" borderId="4" xfId="0" applyFont="1" applyBorder="1"/>
    <xf numFmtId="0" fontId="6" fillId="0" borderId="2" xfId="0" applyFont="1" applyBorder="1"/>
  </cellXfs>
  <cellStyles count="3">
    <cellStyle name="Hyperlink" xfId="1" builtinId="8"/>
    <cellStyle name="Normal" xfId="0" builtinId="0"/>
    <cellStyle name="Normal 2" xfId="2" xr:uid="{827DBEFF-5B08-4BFA-AB43-53E2BA87A8B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cper/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cper/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cper/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data.europa.eu/m8g/"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hema.org/streetAddress" TargetMode="External"/><Relationship Id="rId13" Type="http://schemas.openxmlformats.org/officeDocument/2006/relationships/hyperlink" Target="http://schema.org/addressLocality" TargetMode="External"/><Relationship Id="rId18" Type="http://schemas.openxmlformats.org/officeDocument/2006/relationships/hyperlink" Target="http://schema.org/name" TargetMode="External"/><Relationship Id="rId26" Type="http://schemas.openxmlformats.org/officeDocument/2006/relationships/hyperlink" Target="https://schema.org/gender" TargetMode="External"/><Relationship Id="rId3" Type="http://schemas.openxmlformats.org/officeDocument/2006/relationships/hyperlink" Target="http://mapping.semic.eu/cper/sdo" TargetMode="External"/><Relationship Id="rId21" Type="http://schemas.openxmlformats.org/officeDocument/2006/relationships/hyperlink" Target="https://schema.org/familyName" TargetMode="External"/><Relationship Id="rId7" Type="http://schemas.openxmlformats.org/officeDocument/2006/relationships/hyperlink" Target="http://schema.org/addressRegion" TargetMode="External"/><Relationship Id="rId12" Type="http://schemas.openxmlformats.org/officeDocument/2006/relationships/hyperlink" Target="http://schema.org/streetAddress" TargetMode="External"/><Relationship Id="rId17" Type="http://schemas.openxmlformats.org/officeDocument/2006/relationships/hyperlink" Target="http://schema.org/Place" TargetMode="External"/><Relationship Id="rId25" Type="http://schemas.openxmlformats.org/officeDocument/2006/relationships/hyperlink" Target="http://schema.org/name" TargetMode="External"/><Relationship Id="rId2" Type="http://schemas.openxmlformats.org/officeDocument/2006/relationships/hyperlink" Target="http://mapping.semic.eu/cper/sdo/" TargetMode="External"/><Relationship Id="rId16" Type="http://schemas.openxmlformats.org/officeDocument/2006/relationships/hyperlink" Target="https://schema.org/location" TargetMode="External"/><Relationship Id="rId20" Type="http://schemas.openxmlformats.org/officeDocument/2006/relationships/hyperlink" Target="http://schema.org/name"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schema.org/addressCountry" TargetMode="External"/><Relationship Id="rId11" Type="http://schemas.openxmlformats.org/officeDocument/2006/relationships/hyperlink" Target="http://schema.org/addressLocality" TargetMode="External"/><Relationship Id="rId24" Type="http://schemas.openxmlformats.org/officeDocument/2006/relationships/hyperlink" Target="http://schema.org/name" TargetMode="External"/><Relationship Id="rId5" Type="http://schemas.openxmlformats.org/officeDocument/2006/relationships/hyperlink" Target="http://schema.org/identifier" TargetMode="External"/><Relationship Id="rId15" Type="http://schemas.openxmlformats.org/officeDocument/2006/relationships/hyperlink" Target="https://w3id.org/semapv/vocab/" TargetMode="External"/><Relationship Id="rId23" Type="http://schemas.openxmlformats.org/officeDocument/2006/relationships/hyperlink" Target="http://purl.org/dc/terms/identifier" TargetMode="External"/><Relationship Id="rId28" Type="http://schemas.openxmlformats.org/officeDocument/2006/relationships/printerSettings" Target="../printerSettings/printerSettings2.bin"/><Relationship Id="rId10" Type="http://schemas.openxmlformats.org/officeDocument/2006/relationships/hyperlink" Target="http://schema.org/postalCode" TargetMode="External"/><Relationship Id="rId19" Type="http://schemas.openxmlformats.org/officeDocument/2006/relationships/hyperlink" Target="http://schema.org/name" TargetMode="External"/><Relationship Id="rId4" Type="http://schemas.openxmlformats.org/officeDocument/2006/relationships/hyperlink" Target="http://schema.org/PostalAddress" TargetMode="External"/><Relationship Id="rId9" Type="http://schemas.openxmlformats.org/officeDocument/2006/relationships/hyperlink" Target="http://schema.org/postOfficeBoxNumber" TargetMode="External"/><Relationship Id="rId14" Type="http://schemas.openxmlformats.org/officeDocument/2006/relationships/hyperlink" Target="https://w3id.org/sssom/" TargetMode="External"/><Relationship Id="rId22" Type="http://schemas.openxmlformats.org/officeDocument/2006/relationships/hyperlink" Target="http://schema.org/name" TargetMode="External"/><Relationship Id="rId27" Type="http://schemas.openxmlformats.org/officeDocument/2006/relationships/hyperlink" Target="https://schema.org/telephon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3"/>
  <sheetViews>
    <sheetView topLeftCell="A10" workbookViewId="0">
      <selection activeCell="A13" sqref="A13"/>
    </sheetView>
  </sheetViews>
  <sheetFormatPr defaultColWidth="12.7265625" defaultRowHeight="15.75" customHeight="1" x14ac:dyDescent="0.25"/>
  <cols>
    <col min="1" max="1" width="20.54296875" customWidth="1"/>
    <col min="2" max="2" width="38.81640625" customWidth="1"/>
    <col min="3" max="3" width="35.453125" customWidth="1"/>
    <col min="4" max="4" width="16.7265625" bestFit="1" customWidth="1"/>
    <col min="5" max="5" width="85.81640625" customWidth="1"/>
    <col min="6" max="6" width="28" bestFit="1" customWidth="1"/>
    <col min="7" max="7" width="27" bestFit="1" customWidth="1"/>
  </cols>
  <sheetData>
    <row r="1" spans="1:7" ht="13" x14ac:dyDescent="0.3">
      <c r="A1" s="1" t="s">
        <v>0</v>
      </c>
      <c r="B1" s="23" t="s">
        <v>76</v>
      </c>
      <c r="C1" s="2"/>
      <c r="D1" s="2"/>
      <c r="E1" s="2"/>
      <c r="F1" s="2"/>
      <c r="G1" s="3"/>
    </row>
    <row r="2" spans="1:7" ht="13" x14ac:dyDescent="0.3">
      <c r="A2" s="1" t="s">
        <v>1</v>
      </c>
      <c r="B2" s="2" t="s">
        <v>2</v>
      </c>
      <c r="C2" s="4" t="s">
        <v>3</v>
      </c>
      <c r="D2" s="2"/>
      <c r="E2" s="2"/>
      <c r="F2" s="2"/>
      <c r="G2" s="5"/>
    </row>
    <row r="3" spans="1:7" ht="13" x14ac:dyDescent="0.3">
      <c r="A3" s="1" t="s">
        <v>1</v>
      </c>
      <c r="B3" s="2" t="s">
        <v>4</v>
      </c>
      <c r="C3" s="6" t="s">
        <v>5</v>
      </c>
      <c r="D3" s="2"/>
      <c r="E3" s="2"/>
      <c r="F3" s="2"/>
      <c r="G3" s="5"/>
    </row>
    <row r="4" spans="1:7" ht="13" x14ac:dyDescent="0.3">
      <c r="A4" s="1" t="s">
        <v>1</v>
      </c>
      <c r="B4" s="2" t="s">
        <v>77</v>
      </c>
      <c r="C4" s="23" t="s">
        <v>78</v>
      </c>
      <c r="D4" s="2"/>
      <c r="E4" s="2"/>
      <c r="F4" s="2"/>
      <c r="G4" s="5"/>
    </row>
    <row r="5" spans="1:7" ht="13" x14ac:dyDescent="0.3">
      <c r="A5" s="1" t="s">
        <v>6</v>
      </c>
      <c r="B5" s="12" t="s">
        <v>19</v>
      </c>
      <c r="C5" s="2"/>
      <c r="D5" s="2"/>
      <c r="E5" s="2"/>
      <c r="F5" s="2"/>
      <c r="G5" s="5"/>
    </row>
    <row r="6" spans="1:7" ht="13" x14ac:dyDescent="0.3">
      <c r="A6" s="1" t="s">
        <v>7</v>
      </c>
      <c r="B6" s="7">
        <v>45363</v>
      </c>
      <c r="C6" s="2"/>
      <c r="D6" s="2"/>
      <c r="E6" s="2"/>
      <c r="F6" s="2"/>
      <c r="G6" s="5"/>
    </row>
    <row r="7" spans="1:7" ht="13" x14ac:dyDescent="0.3">
      <c r="A7" s="1" t="s">
        <v>43</v>
      </c>
      <c r="B7" s="86" t="s">
        <v>8</v>
      </c>
      <c r="C7" s="87"/>
      <c r="D7" s="2"/>
      <c r="E7" s="2"/>
      <c r="F7" s="2"/>
      <c r="G7" s="5"/>
    </row>
    <row r="8" spans="1:7" ht="13" x14ac:dyDescent="0.3">
      <c r="A8" s="1" t="s">
        <v>9</v>
      </c>
      <c r="B8" s="8" t="s">
        <v>10</v>
      </c>
      <c r="C8" s="2"/>
      <c r="D8" s="2"/>
      <c r="E8" s="2"/>
      <c r="F8" s="2"/>
      <c r="G8" s="5"/>
    </row>
    <row r="9" spans="1:7" ht="13" x14ac:dyDescent="0.3">
      <c r="A9" s="1" t="s">
        <v>11</v>
      </c>
      <c r="B9" s="2" t="s">
        <v>79</v>
      </c>
      <c r="C9" s="2"/>
      <c r="D9" s="2"/>
      <c r="E9" s="2"/>
      <c r="F9" s="2"/>
      <c r="G9" s="5"/>
    </row>
    <row r="10" spans="1:7" ht="76.150000000000006" customHeight="1" x14ac:dyDescent="0.3">
      <c r="A10" s="1" t="s">
        <v>12</v>
      </c>
      <c r="B10" s="48" t="s">
        <v>80</v>
      </c>
      <c r="C10" s="2"/>
      <c r="D10" s="2"/>
      <c r="E10" s="2"/>
      <c r="F10" s="2"/>
      <c r="G10" s="5"/>
    </row>
    <row r="11" spans="1:7" ht="15.75" customHeight="1" x14ac:dyDescent="0.25">
      <c r="A11" s="2"/>
      <c r="B11" s="2"/>
      <c r="C11" s="2"/>
      <c r="D11" s="2"/>
      <c r="E11" s="2"/>
      <c r="F11" s="2"/>
      <c r="G11" s="5"/>
    </row>
    <row r="12" spans="1:7" ht="15.75" customHeight="1" x14ac:dyDescent="0.3">
      <c r="A12" s="25" t="s">
        <v>13</v>
      </c>
      <c r="B12" s="25" t="s">
        <v>6</v>
      </c>
      <c r="C12" s="25" t="s">
        <v>14</v>
      </c>
      <c r="D12" s="25" t="s">
        <v>15</v>
      </c>
      <c r="E12" s="25" t="s">
        <v>16</v>
      </c>
      <c r="F12" s="25" t="s">
        <v>17</v>
      </c>
      <c r="G12" s="25" t="s">
        <v>18</v>
      </c>
    </row>
    <row r="13" spans="1:7" ht="101.5" customHeight="1" x14ac:dyDescent="0.25">
      <c r="A13" s="23" t="s">
        <v>76</v>
      </c>
      <c r="B13" s="12" t="s">
        <v>19</v>
      </c>
      <c r="C13" s="24" t="s">
        <v>55</v>
      </c>
      <c r="D13" s="24" t="s">
        <v>44</v>
      </c>
      <c r="E13" s="33" t="str" cm="1">
        <f t="array" aca="1" ref="E13" ca="1">ConcatNoStrike(mapping!A8:A54,",")</f>
        <v>cpersdo:cell/1,cpersdo:cell/2,cpersdo:cell/3,cpersdo:cell/4,cpersdo:cell/5,cpersdo:cell/7,cpersdo:cell/8,cpersdo:cell/9,cpersdo:cell/10,cpersdo:cell/11,cpersdo:cell/12,cpersdo:cell/13,cpersdo:cell/15,cpersdo:cell/25,cpersdo:cell/26,cpersdo:cell/27,cpersdo:cell/28,cpersdo:cell/29,cpersdo:cell/30,cpersdo:cell/32,cpersdo:cell/33,cpersdo:cell/34,cpersdo:cell/35,cpersdo:cell/36,cpersdo:cell/37,cpersdo:cell/38,cpersdo:cell/39,cpersdo:cell/40,cpersdo:cell/41,cpersdo:cell/42,cpersdo:cell/43,cpersdo:cell/45,cpersdo:cell/46,</v>
      </c>
      <c r="F13" s="42" t="s">
        <v>128</v>
      </c>
      <c r="G13" s="43" t="s">
        <v>129</v>
      </c>
    </row>
  </sheetData>
  <mergeCells count="1">
    <mergeCell ref="B7:C7"/>
  </mergeCells>
  <hyperlinks>
    <hyperlink ref="C2" r:id="rId1" xr:uid="{00000000-0004-0000-0000-000001000000}"/>
    <hyperlink ref="C3" r:id="rId2" xr:uid="{00000000-0004-0000-0000-000002000000}"/>
    <hyperlink ref="B7" r:id="rId3" xr:uid="{00000000-0004-0000-0000-000004000000}"/>
    <hyperlink ref="B8" r:id="rId4" xr:uid="{00000000-0004-0000-0000-000005000000}"/>
    <hyperlink ref="D13" r:id="rId5" xr:uid="{00000000-0004-0000-0000-000008000000}"/>
    <hyperlink ref="C4" r:id="rId6" xr:uid="{6278E4E2-D6FA-4505-9B6B-65FB6C0756EE}"/>
    <hyperlink ref="B1" r:id="rId7" xr:uid="{00000000-0004-0000-0000-000000000000}"/>
    <hyperlink ref="A13" r:id="rId8" xr:uid="{6D34C54D-78C4-442F-8FB1-2529C38752EE}"/>
    <hyperlink ref="C13" r:id="rId9" xr:uid="{00000000-0004-0000-0000-000007000000}"/>
  </hyperlinks>
  <pageMargins left="0.7" right="0.7" top="0.75" bottom="0.75" header="0.3" footer="0.3"/>
  <pageSetup paperSize="9" orientation="portrait" verticalDpi="0"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64"/>
  <sheetViews>
    <sheetView tabSelected="1" topLeftCell="B39" workbookViewId="0">
      <selection activeCell="D40" sqref="D40"/>
    </sheetView>
  </sheetViews>
  <sheetFormatPr defaultColWidth="12.7265625" defaultRowHeight="15.75" customHeight="1" x14ac:dyDescent="0.25"/>
  <cols>
    <col min="1" max="1" width="13.81640625" bestFit="1" customWidth="1"/>
    <col min="2" max="2" width="10.453125" customWidth="1"/>
    <col min="3" max="3" width="52.81640625" bestFit="1" customWidth="1"/>
    <col min="4" max="4" width="34.26953125" bestFit="1" customWidth="1"/>
    <col min="5" max="5" width="12.7265625" style="21"/>
    <col min="6" max="6" width="23.26953125" bestFit="1" customWidth="1"/>
    <col min="7" max="7" width="21.26953125" bestFit="1" customWidth="1"/>
    <col min="8" max="8" width="25.7265625" bestFit="1" customWidth="1"/>
    <col min="9" max="9" width="67.7265625" customWidth="1"/>
    <col min="10" max="10" width="34.26953125" bestFit="1" customWidth="1"/>
  </cols>
  <sheetData>
    <row r="1" spans="1:10" ht="13" x14ac:dyDescent="0.3">
      <c r="A1" s="1" t="s">
        <v>0</v>
      </c>
      <c r="B1" s="23" t="s">
        <v>76</v>
      </c>
      <c r="C1" s="15"/>
      <c r="D1" s="9"/>
      <c r="E1" s="28"/>
      <c r="F1" s="3"/>
      <c r="G1" s="9"/>
      <c r="H1" s="15"/>
      <c r="I1" s="44"/>
      <c r="J1" s="14"/>
    </row>
    <row r="2" spans="1:10" ht="13" x14ac:dyDescent="0.3">
      <c r="A2" s="10" t="s">
        <v>1</v>
      </c>
      <c r="B2" s="11" t="s">
        <v>2</v>
      </c>
      <c r="C2" s="30" t="s">
        <v>3</v>
      </c>
      <c r="D2" s="11"/>
      <c r="E2" s="28"/>
      <c r="F2" s="5"/>
      <c r="G2" s="11"/>
      <c r="H2" s="15"/>
      <c r="I2" s="44"/>
      <c r="J2" s="14"/>
    </row>
    <row r="3" spans="1:10" ht="13" x14ac:dyDescent="0.3">
      <c r="A3" s="1" t="s">
        <v>1</v>
      </c>
      <c r="B3" s="29" t="s">
        <v>77</v>
      </c>
      <c r="C3" s="23" t="s">
        <v>78</v>
      </c>
      <c r="D3" s="11"/>
      <c r="E3" s="28"/>
      <c r="F3" s="5"/>
      <c r="G3" s="11"/>
      <c r="H3" s="15"/>
      <c r="I3" s="44"/>
      <c r="J3" s="14"/>
    </row>
    <row r="4" spans="1:10" ht="13" x14ac:dyDescent="0.3">
      <c r="A4" s="10" t="s">
        <v>1</v>
      </c>
      <c r="B4" s="11" t="s">
        <v>4</v>
      </c>
      <c r="C4" s="47" t="s">
        <v>5</v>
      </c>
      <c r="D4" s="11"/>
      <c r="E4" s="28"/>
      <c r="F4" s="5"/>
      <c r="G4" s="11"/>
      <c r="H4" s="15"/>
      <c r="I4" s="44"/>
      <c r="J4" s="14"/>
    </row>
    <row r="5" spans="1:10" ht="15.75" customHeight="1" x14ac:dyDescent="0.3">
      <c r="A5" s="52" t="s">
        <v>1</v>
      </c>
      <c r="B5" s="53" t="s">
        <v>57</v>
      </c>
      <c r="C5" s="54" t="s">
        <v>58</v>
      </c>
      <c r="D5" s="53"/>
      <c r="E5" s="28"/>
      <c r="F5" s="5"/>
      <c r="G5" s="11"/>
      <c r="H5" s="15"/>
      <c r="I5" s="44"/>
      <c r="J5" s="14"/>
    </row>
    <row r="6" spans="1:10" ht="15.75" customHeight="1" x14ac:dyDescent="0.25">
      <c r="A6" s="15"/>
      <c r="B6" s="15"/>
      <c r="C6" s="15"/>
      <c r="D6" s="15"/>
      <c r="E6" s="51"/>
      <c r="F6" s="5"/>
      <c r="G6" s="11"/>
      <c r="H6" s="15"/>
      <c r="I6" s="44"/>
      <c r="J6" s="14"/>
    </row>
    <row r="7" spans="1:10" ht="15.75" customHeight="1" x14ac:dyDescent="0.3">
      <c r="A7" s="58" t="s">
        <v>13</v>
      </c>
      <c r="B7" s="58" t="s">
        <v>6</v>
      </c>
      <c r="C7" s="58" t="s">
        <v>20</v>
      </c>
      <c r="D7" s="58" t="s">
        <v>21</v>
      </c>
      <c r="E7" s="26" t="s">
        <v>22</v>
      </c>
      <c r="F7" s="27" t="s">
        <v>23</v>
      </c>
      <c r="G7" s="49" t="s">
        <v>60</v>
      </c>
      <c r="H7" s="41" t="s">
        <v>56</v>
      </c>
      <c r="I7" s="45" t="s">
        <v>12</v>
      </c>
      <c r="J7" s="41" t="s">
        <v>54</v>
      </c>
    </row>
    <row r="8" spans="1:10" ht="15.75" customHeight="1" x14ac:dyDescent="0.35">
      <c r="A8" s="18" t="str">
        <f>CONCATENATE("cpersdo:","cell/",ROWS(A$8:A8))</f>
        <v>cpersdo:cell/1</v>
      </c>
      <c r="B8" s="55" t="s">
        <v>24</v>
      </c>
      <c r="C8" s="56" t="s">
        <v>27</v>
      </c>
      <c r="D8" s="57" t="s">
        <v>45</v>
      </c>
      <c r="E8" s="34" t="s">
        <v>25</v>
      </c>
      <c r="F8" s="22">
        <v>1</v>
      </c>
      <c r="G8" s="11" t="s">
        <v>26</v>
      </c>
      <c r="H8" s="15" t="s">
        <v>59</v>
      </c>
      <c r="I8" s="44"/>
      <c r="J8" s="14"/>
    </row>
    <row r="9" spans="1:10" ht="15.75" customHeight="1" x14ac:dyDescent="0.35">
      <c r="A9" s="18" t="str">
        <f>CONCATENATE("cpersdo:","cell/",ROWS(A$8:A9))</f>
        <v>cpersdo:cell/2</v>
      </c>
      <c r="B9" s="31" t="s">
        <v>24</v>
      </c>
      <c r="C9" s="32" t="s">
        <v>28</v>
      </c>
      <c r="D9" s="19" t="s">
        <v>51</v>
      </c>
      <c r="E9" s="35" t="s">
        <v>39</v>
      </c>
      <c r="F9" s="22">
        <v>1</v>
      </c>
      <c r="G9" s="36" t="s">
        <v>40</v>
      </c>
      <c r="H9" s="15" t="s">
        <v>59</v>
      </c>
      <c r="I9" s="46" t="s">
        <v>75</v>
      </c>
      <c r="J9" s="14"/>
    </row>
    <row r="10" spans="1:10" ht="15.75" customHeight="1" x14ac:dyDescent="0.35">
      <c r="A10" s="18" t="str">
        <f>CONCATENATE("cpersdo:","cell/",ROWS(A$8:A10))</f>
        <v>cpersdo:cell/3</v>
      </c>
      <c r="B10" s="15" t="s">
        <v>24</v>
      </c>
      <c r="C10" s="16" t="s">
        <v>29</v>
      </c>
      <c r="D10" s="19" t="s">
        <v>46</v>
      </c>
      <c r="E10" s="20" t="s">
        <v>39</v>
      </c>
      <c r="F10" s="22">
        <v>1</v>
      </c>
      <c r="G10" s="36" t="s">
        <v>40</v>
      </c>
      <c r="H10" s="15" t="s">
        <v>59</v>
      </c>
      <c r="I10" s="44"/>
      <c r="J10" s="40" t="s">
        <v>71</v>
      </c>
    </row>
    <row r="11" spans="1:10" ht="15.75" customHeight="1" x14ac:dyDescent="0.35">
      <c r="A11" s="18" t="str">
        <f>CONCATENATE("cpersdo:","cell/",ROWS(A$8:A11))</f>
        <v>cpersdo:cell/4</v>
      </c>
      <c r="B11" s="15" t="s">
        <v>24</v>
      </c>
      <c r="C11" s="16" t="s">
        <v>30</v>
      </c>
      <c r="D11" s="19" t="s">
        <v>47</v>
      </c>
      <c r="E11" s="20" t="s">
        <v>39</v>
      </c>
      <c r="F11" s="22">
        <v>0.7</v>
      </c>
      <c r="G11" s="36" t="s">
        <v>40</v>
      </c>
      <c r="H11" s="15" t="s">
        <v>59</v>
      </c>
      <c r="I11" s="44"/>
      <c r="J11" s="40" t="s">
        <v>71</v>
      </c>
    </row>
    <row r="12" spans="1:10" ht="15.75" customHeight="1" x14ac:dyDescent="0.35">
      <c r="A12" s="18" t="str">
        <f>CONCATENATE("cpersdo:","cell/",ROWS(A$8:A12))</f>
        <v>cpersdo:cell/5</v>
      </c>
      <c r="B12" s="15" t="s">
        <v>24</v>
      </c>
      <c r="C12" s="16" t="s">
        <v>31</v>
      </c>
      <c r="D12" s="19" t="s">
        <v>48</v>
      </c>
      <c r="E12" s="20" t="s">
        <v>25</v>
      </c>
      <c r="F12" s="22">
        <v>1</v>
      </c>
      <c r="G12" s="37" t="s">
        <v>41</v>
      </c>
      <c r="H12" s="15" t="s">
        <v>59</v>
      </c>
      <c r="I12" s="44"/>
      <c r="J12" s="14"/>
    </row>
    <row r="13" spans="1:10" ht="15.75" customHeight="1" x14ac:dyDescent="0.35">
      <c r="A13" s="76" t="str">
        <f>CONCATENATE("cpersdo:","cell/",ROWS(A$8:A13))</f>
        <v>cpersdo:cell/6</v>
      </c>
      <c r="B13" s="15" t="s">
        <v>24</v>
      </c>
      <c r="C13" s="16" t="s">
        <v>32</v>
      </c>
      <c r="D13" s="19"/>
      <c r="E13" s="20" t="s">
        <v>39</v>
      </c>
      <c r="F13" s="22">
        <v>1</v>
      </c>
      <c r="G13" s="36" t="s">
        <v>40</v>
      </c>
      <c r="H13" s="15" t="s">
        <v>59</v>
      </c>
      <c r="I13" s="50"/>
      <c r="J13" s="14"/>
    </row>
    <row r="14" spans="1:10" ht="15.75" customHeight="1" x14ac:dyDescent="0.35">
      <c r="A14" s="18" t="str">
        <f>CONCATENATE("cpersdo:","cell/",ROWS(A$8:A14))</f>
        <v>cpersdo:cell/7</v>
      </c>
      <c r="B14" s="15" t="s">
        <v>24</v>
      </c>
      <c r="C14" s="16" t="s">
        <v>33</v>
      </c>
      <c r="D14" s="19" t="s">
        <v>49</v>
      </c>
      <c r="E14" s="20" t="s">
        <v>39</v>
      </c>
      <c r="F14" s="13">
        <v>1</v>
      </c>
      <c r="G14" s="36" t="s">
        <v>40</v>
      </c>
      <c r="H14" s="15" t="s">
        <v>59</v>
      </c>
      <c r="I14" s="44"/>
      <c r="J14" s="14"/>
    </row>
    <row r="15" spans="1:10" ht="15.75" customHeight="1" x14ac:dyDescent="0.35">
      <c r="A15" s="18" t="str">
        <f>CONCATENATE("cpersdo:","cell/",ROWS(A$8:A15))</f>
        <v>cpersdo:cell/8</v>
      </c>
      <c r="B15" s="15" t="s">
        <v>24</v>
      </c>
      <c r="C15" s="16" t="s">
        <v>34</v>
      </c>
      <c r="D15" s="19" t="s">
        <v>52</v>
      </c>
      <c r="E15" s="20" t="s">
        <v>39</v>
      </c>
      <c r="F15" s="13">
        <v>0.7</v>
      </c>
      <c r="G15" s="36" t="s">
        <v>40</v>
      </c>
      <c r="H15" s="15" t="s">
        <v>59</v>
      </c>
      <c r="I15" s="46" t="s">
        <v>72</v>
      </c>
      <c r="J15" s="40" t="s">
        <v>71</v>
      </c>
    </row>
    <row r="16" spans="1:10" ht="15.75" customHeight="1" x14ac:dyDescent="0.35">
      <c r="A16" s="18" t="str">
        <f>CONCATENATE("cpersdo:","cell/",ROWS(A$8:A16))</f>
        <v>cpersdo:cell/9</v>
      </c>
      <c r="B16" s="15" t="s">
        <v>24</v>
      </c>
      <c r="C16" s="16" t="s">
        <v>35</v>
      </c>
      <c r="D16" s="19" t="s">
        <v>50</v>
      </c>
      <c r="E16" s="20" t="s">
        <v>25</v>
      </c>
      <c r="F16" s="13">
        <v>1</v>
      </c>
      <c r="G16" s="37" t="s">
        <v>41</v>
      </c>
      <c r="H16" s="15" t="s">
        <v>59</v>
      </c>
      <c r="I16" s="44"/>
      <c r="J16" s="14"/>
    </row>
    <row r="17" spans="1:10" ht="15.75" customHeight="1" x14ac:dyDescent="0.35">
      <c r="A17" s="18" t="str">
        <f>CONCATENATE("cpersdo:","cell/",ROWS(A$8:A17))</f>
        <v>cpersdo:cell/10</v>
      </c>
      <c r="B17" s="15" t="s">
        <v>24</v>
      </c>
      <c r="C17" s="16" t="s">
        <v>36</v>
      </c>
      <c r="D17" s="19" t="s">
        <v>42</v>
      </c>
      <c r="E17" s="20" t="s">
        <v>25</v>
      </c>
      <c r="F17" s="13">
        <v>1</v>
      </c>
      <c r="G17" s="37" t="s">
        <v>41</v>
      </c>
      <c r="H17" s="15" t="s">
        <v>59</v>
      </c>
      <c r="I17" s="44"/>
      <c r="J17" s="14"/>
    </row>
    <row r="18" spans="1:10" ht="15.75" customHeight="1" x14ac:dyDescent="0.35">
      <c r="A18" s="18" t="str">
        <f>CONCATENATE("cpersdo:","cell/",ROWS(A$8:A18))</f>
        <v>cpersdo:cell/11</v>
      </c>
      <c r="B18" s="15" t="s">
        <v>24</v>
      </c>
      <c r="C18" s="16" t="s">
        <v>37</v>
      </c>
      <c r="D18" s="19" t="s">
        <v>51</v>
      </c>
      <c r="E18" s="20" t="s">
        <v>25</v>
      </c>
      <c r="F18" s="13">
        <v>1</v>
      </c>
      <c r="G18" s="37" t="s">
        <v>41</v>
      </c>
      <c r="H18" s="15" t="s">
        <v>59</v>
      </c>
      <c r="I18" s="44"/>
      <c r="J18" s="14"/>
    </row>
    <row r="19" spans="1:10" ht="15.75" customHeight="1" x14ac:dyDescent="0.35">
      <c r="A19" s="18" t="str">
        <f>CONCATENATE("cpersdo:","cell/",ROWS(A$8:A19))</f>
        <v>cpersdo:cell/12</v>
      </c>
      <c r="B19" s="15" t="s">
        <v>24</v>
      </c>
      <c r="C19" s="16" t="s">
        <v>38</v>
      </c>
      <c r="D19" s="19" t="s">
        <v>49</v>
      </c>
      <c r="E19" s="20" t="s">
        <v>39</v>
      </c>
      <c r="F19" s="13">
        <v>1</v>
      </c>
      <c r="G19" s="37" t="s">
        <v>40</v>
      </c>
      <c r="H19" s="15" t="s">
        <v>59</v>
      </c>
      <c r="I19" s="44"/>
      <c r="J19" s="14"/>
    </row>
    <row r="20" spans="1:10" ht="15.75" customHeight="1" x14ac:dyDescent="0.35">
      <c r="A20" s="18" t="str">
        <f>CONCATENATE("cpersdo:","cell/",ROWS(A$8:A20))</f>
        <v>cpersdo:cell/13</v>
      </c>
      <c r="B20" s="15" t="s">
        <v>24</v>
      </c>
      <c r="C20" s="16" t="s">
        <v>81</v>
      </c>
      <c r="D20" s="17" t="s">
        <v>82</v>
      </c>
      <c r="E20" s="20" t="s">
        <v>25</v>
      </c>
      <c r="F20" s="13">
        <v>1</v>
      </c>
      <c r="G20" s="11" t="s">
        <v>26</v>
      </c>
      <c r="H20" s="15" t="s">
        <v>59</v>
      </c>
      <c r="I20" s="44"/>
      <c r="J20" s="14"/>
    </row>
    <row r="21" spans="1:10" ht="15.75" customHeight="1" x14ac:dyDescent="0.35">
      <c r="A21" s="76" t="str">
        <f>CONCATENATE("cpersdo:","cell/",ROWS(A$8:A21))</f>
        <v>cpersdo:cell/14</v>
      </c>
      <c r="B21" s="15" t="s">
        <v>24</v>
      </c>
      <c r="C21" s="16" t="s">
        <v>83</v>
      </c>
      <c r="D21" s="19"/>
      <c r="E21" s="38"/>
      <c r="F21" s="14"/>
      <c r="G21" s="39"/>
      <c r="H21" s="14"/>
      <c r="I21" s="44"/>
      <c r="J21" s="14"/>
    </row>
    <row r="22" spans="1:10" ht="15.75" customHeight="1" x14ac:dyDescent="0.35">
      <c r="A22" s="18" t="str">
        <f>CONCATENATE("cpersdo:","cell/",ROWS(A$8:A22))</f>
        <v>cpersdo:cell/15</v>
      </c>
      <c r="B22" s="15" t="s">
        <v>24</v>
      </c>
      <c r="C22" s="16" t="s">
        <v>84</v>
      </c>
      <c r="D22" s="68" t="s">
        <v>73</v>
      </c>
      <c r="E22" s="20" t="s">
        <v>39</v>
      </c>
      <c r="F22" s="13">
        <v>1</v>
      </c>
      <c r="G22" s="37" t="s">
        <v>40</v>
      </c>
      <c r="H22" s="15" t="s">
        <v>59</v>
      </c>
      <c r="I22" s="46"/>
      <c r="J22" s="14"/>
    </row>
    <row r="23" spans="1:10" ht="15.75" customHeight="1" x14ac:dyDescent="0.35">
      <c r="A23" s="76" t="str">
        <f>CONCATENATE("cpersdo:","cell/",ROWS(A$8:A23))</f>
        <v>cpersdo:cell/16</v>
      </c>
      <c r="B23" s="65" t="s">
        <v>24</v>
      </c>
      <c r="C23" s="66" t="s">
        <v>61</v>
      </c>
      <c r="D23" s="68"/>
      <c r="E23" s="72"/>
      <c r="F23" s="63"/>
      <c r="G23" s="62"/>
      <c r="H23" s="65" t="s">
        <v>59</v>
      </c>
      <c r="I23" s="44"/>
      <c r="J23" s="40" t="s">
        <v>71</v>
      </c>
    </row>
    <row r="24" spans="1:10" ht="15.75" customHeight="1" x14ac:dyDescent="0.35">
      <c r="A24" s="76" t="str">
        <f>CONCATENATE("cpersdo:","cell/",ROWS(A$8:A24))</f>
        <v>cpersdo:cell/17</v>
      </c>
      <c r="B24" s="65" t="s">
        <v>24</v>
      </c>
      <c r="C24" s="61" t="s">
        <v>62</v>
      </c>
      <c r="D24" s="74"/>
      <c r="E24" s="72"/>
      <c r="F24" s="64"/>
      <c r="G24" s="73"/>
      <c r="H24" s="65" t="s">
        <v>59</v>
      </c>
      <c r="I24" s="44"/>
      <c r="J24" s="14"/>
    </row>
    <row r="25" spans="1:10" ht="15.75" customHeight="1" x14ac:dyDescent="0.35">
      <c r="A25" s="76" t="str">
        <f>CONCATENATE("cpersdo:","cell/",ROWS(A$8:A25))</f>
        <v>cpersdo:cell/18</v>
      </c>
      <c r="B25" s="65" t="s">
        <v>24</v>
      </c>
      <c r="C25" s="66" t="s">
        <v>63</v>
      </c>
      <c r="D25" s="64"/>
      <c r="E25" s="72"/>
      <c r="F25" s="64"/>
      <c r="G25" s="73"/>
      <c r="H25" s="65" t="s">
        <v>59</v>
      </c>
      <c r="I25" s="44"/>
      <c r="J25" s="14"/>
    </row>
    <row r="26" spans="1:10" ht="15.75" customHeight="1" x14ac:dyDescent="0.35">
      <c r="A26" s="76" t="str">
        <f>CONCATENATE("cpersdo:","cell/",ROWS(A$8:A26))</f>
        <v>cpersdo:cell/19</v>
      </c>
      <c r="B26" s="65" t="s">
        <v>24</v>
      </c>
      <c r="C26" s="61" t="s">
        <v>64</v>
      </c>
      <c r="D26" s="68"/>
      <c r="E26" s="69"/>
      <c r="F26" s="64"/>
      <c r="G26" s="62"/>
      <c r="H26" s="65" t="s">
        <v>59</v>
      </c>
      <c r="I26" s="44"/>
      <c r="J26" s="14"/>
    </row>
    <row r="27" spans="1:10" ht="15.75" customHeight="1" x14ac:dyDescent="0.35">
      <c r="A27" s="76" t="str">
        <f>CONCATENATE("cpersdo:","cell/",ROWS(A$8:A27))</f>
        <v>cpersdo:cell/20</v>
      </c>
      <c r="B27" s="65" t="s">
        <v>24</v>
      </c>
      <c r="C27" s="64" t="s">
        <v>65</v>
      </c>
      <c r="D27" s="64"/>
      <c r="E27" s="72"/>
      <c r="F27" s="64"/>
      <c r="G27" s="73"/>
      <c r="H27" s="65" t="s">
        <v>59</v>
      </c>
      <c r="I27" s="44"/>
      <c r="J27" s="40" t="s">
        <v>71</v>
      </c>
    </row>
    <row r="28" spans="1:10" ht="15.75" customHeight="1" x14ac:dyDescent="0.35">
      <c r="A28" s="76" t="str">
        <f>CONCATENATE("cpersdo:","cell/",ROWS(A$8:A28))</f>
        <v>cpersdo:cell/21</v>
      </c>
      <c r="B28" s="65" t="s">
        <v>24</v>
      </c>
      <c r="C28" s="64" t="s">
        <v>66</v>
      </c>
      <c r="D28" s="64"/>
      <c r="E28" s="72"/>
      <c r="F28" s="64"/>
      <c r="G28" s="73"/>
      <c r="H28" s="65" t="s">
        <v>59</v>
      </c>
      <c r="I28" s="44"/>
      <c r="J28" s="14"/>
    </row>
    <row r="29" spans="1:10" ht="15.75" customHeight="1" x14ac:dyDescent="0.35">
      <c r="A29" s="76" t="str">
        <f>CONCATENATE("cpersdo:","cell/",ROWS(A$8:A29))</f>
        <v>cpersdo:cell/22</v>
      </c>
      <c r="B29" s="65" t="s">
        <v>24</v>
      </c>
      <c r="C29" s="64" t="s">
        <v>67</v>
      </c>
      <c r="D29" s="74"/>
      <c r="E29" s="72"/>
      <c r="F29" s="64"/>
      <c r="G29" s="73"/>
      <c r="H29" s="65" t="s">
        <v>59</v>
      </c>
      <c r="I29" s="44"/>
      <c r="J29" s="14"/>
    </row>
    <row r="30" spans="1:10" ht="15.75" customHeight="1" x14ac:dyDescent="0.35">
      <c r="A30" s="76" t="str">
        <f>CONCATENATE("cpersdo:","cell/",ROWS(A$8:A30))</f>
        <v>cpersdo:cell/23</v>
      </c>
      <c r="B30" s="15" t="s">
        <v>24</v>
      </c>
      <c r="C30" s="14" t="s">
        <v>85</v>
      </c>
      <c r="D30" s="68"/>
      <c r="E30" s="69"/>
      <c r="F30" s="63"/>
      <c r="G30" s="71"/>
      <c r="H30" s="65"/>
      <c r="I30" s="44"/>
      <c r="J30" s="14"/>
    </row>
    <row r="31" spans="1:10" ht="15.75" customHeight="1" x14ac:dyDescent="0.35">
      <c r="A31" s="76" t="str">
        <f>CONCATENATE("cpersdo:","cell/",ROWS(A$8:A31))</f>
        <v>cpersdo:cell/24</v>
      </c>
      <c r="B31" s="15" t="s">
        <v>24</v>
      </c>
      <c r="C31" s="66" t="s">
        <v>86</v>
      </c>
      <c r="D31" s="40"/>
      <c r="E31" s="38"/>
      <c r="F31" s="13"/>
      <c r="G31" s="37"/>
      <c r="H31" s="15"/>
      <c r="I31" s="44"/>
      <c r="J31" s="14"/>
    </row>
    <row r="32" spans="1:10" ht="15.75" customHeight="1" x14ac:dyDescent="0.35">
      <c r="A32" s="18" t="str">
        <f>CONCATENATE("cpersdo:","cell/",ROWS(A$8:A32))</f>
        <v>cpersdo:cell/25</v>
      </c>
      <c r="B32" s="15" t="s">
        <v>24</v>
      </c>
      <c r="C32" s="16" t="s">
        <v>87</v>
      </c>
      <c r="D32" s="59" t="s">
        <v>74</v>
      </c>
      <c r="E32" s="69" t="s">
        <v>25</v>
      </c>
      <c r="F32" s="63">
        <v>1</v>
      </c>
      <c r="G32" s="62" t="s">
        <v>26</v>
      </c>
      <c r="H32" s="65" t="s">
        <v>59</v>
      </c>
      <c r="I32" s="44"/>
      <c r="J32" s="14"/>
    </row>
    <row r="33" spans="1:10" ht="15.75" customHeight="1" x14ac:dyDescent="0.35">
      <c r="A33" s="18" t="str">
        <f>CONCATENATE("cpersdo:","cell/",ROWS(A$8:A33))</f>
        <v>cpersdo:cell/26</v>
      </c>
      <c r="B33" s="15" t="s">
        <v>24</v>
      </c>
      <c r="C33" s="16" t="s">
        <v>69</v>
      </c>
      <c r="D33" s="68" t="s">
        <v>46</v>
      </c>
      <c r="E33" s="69" t="s">
        <v>39</v>
      </c>
      <c r="F33" s="63">
        <v>0.7</v>
      </c>
      <c r="G33" s="71" t="s">
        <v>40</v>
      </c>
      <c r="H33" s="65" t="s">
        <v>59</v>
      </c>
      <c r="I33" s="46" t="s">
        <v>88</v>
      </c>
      <c r="J33" s="14"/>
    </row>
    <row r="34" spans="1:10" ht="15.75" customHeight="1" x14ac:dyDescent="0.35">
      <c r="A34" s="18" t="str">
        <f>CONCATENATE("cpersdo:","cell/",ROWS(A$8:A34))</f>
        <v>cpersdo:cell/27</v>
      </c>
      <c r="B34" s="15" t="s">
        <v>24</v>
      </c>
      <c r="C34" s="70" t="s">
        <v>66</v>
      </c>
      <c r="D34" s="67" t="s">
        <v>73</v>
      </c>
      <c r="E34" s="69" t="s">
        <v>39</v>
      </c>
      <c r="F34" s="63">
        <v>1</v>
      </c>
      <c r="G34" s="71" t="s">
        <v>40</v>
      </c>
      <c r="H34" s="65" t="s">
        <v>59</v>
      </c>
      <c r="I34" s="44"/>
      <c r="J34" s="14"/>
    </row>
    <row r="35" spans="1:10" ht="15.75" customHeight="1" x14ac:dyDescent="0.35">
      <c r="A35" s="18" t="str">
        <f>CONCATENATE("cpersdo:","cell/",ROWS(A$8:A35))</f>
        <v>cpersdo:cell/28</v>
      </c>
      <c r="B35" s="15" t="s">
        <v>24</v>
      </c>
      <c r="C35" s="16" t="s">
        <v>90</v>
      </c>
      <c r="D35" s="19" t="s">
        <v>89</v>
      </c>
      <c r="E35" s="69" t="s">
        <v>25</v>
      </c>
      <c r="F35" s="63">
        <v>1</v>
      </c>
      <c r="G35" s="62" t="s">
        <v>26</v>
      </c>
      <c r="H35" s="65" t="s">
        <v>59</v>
      </c>
      <c r="I35" s="44"/>
      <c r="J35" s="14"/>
    </row>
    <row r="36" spans="1:10" ht="15.75" customHeight="1" x14ac:dyDescent="0.35">
      <c r="A36" s="18" t="str">
        <f>CONCATENATE("cpersdo:","cell/",ROWS(A$8:A36))</f>
        <v>cpersdo:cell/29</v>
      </c>
      <c r="B36" s="15" t="s">
        <v>24</v>
      </c>
      <c r="C36" s="64" t="s">
        <v>68</v>
      </c>
      <c r="D36" s="74" t="s">
        <v>70</v>
      </c>
      <c r="E36" s="69" t="s">
        <v>39</v>
      </c>
      <c r="F36" s="63">
        <v>0.7</v>
      </c>
      <c r="G36" s="71" t="s">
        <v>40</v>
      </c>
      <c r="H36" s="65" t="s">
        <v>59</v>
      </c>
      <c r="I36" s="46" t="s">
        <v>106</v>
      </c>
      <c r="J36" s="14"/>
    </row>
    <row r="37" spans="1:10" ht="15.75" customHeight="1" x14ac:dyDescent="0.35">
      <c r="A37" s="18" t="str">
        <f>CONCATENATE("cpersdo:","cell/",ROWS(A$8:A37))</f>
        <v>cpersdo:cell/30</v>
      </c>
      <c r="B37" s="15" t="s">
        <v>24</v>
      </c>
      <c r="C37" s="64" t="s">
        <v>91</v>
      </c>
      <c r="D37" s="68" t="s">
        <v>73</v>
      </c>
      <c r="E37" s="69" t="s">
        <v>39</v>
      </c>
      <c r="F37" s="63">
        <v>1</v>
      </c>
      <c r="G37" s="71" t="s">
        <v>40</v>
      </c>
      <c r="H37" s="65" t="s">
        <v>59</v>
      </c>
      <c r="I37" s="46"/>
      <c r="J37" s="14"/>
    </row>
    <row r="38" spans="1:10" ht="15.75" customHeight="1" x14ac:dyDescent="0.35">
      <c r="A38" s="76" t="str">
        <f>CONCATENATE("cpersdo:","cell/",ROWS(A$8:A38))</f>
        <v>cpersdo:cell/31</v>
      </c>
      <c r="B38" s="15" t="s">
        <v>24</v>
      </c>
      <c r="C38" s="64" t="s">
        <v>92</v>
      </c>
      <c r="D38" s="64"/>
      <c r="E38" s="38"/>
      <c r="F38" s="14"/>
      <c r="G38" s="14"/>
      <c r="H38" s="15"/>
      <c r="I38" s="44"/>
      <c r="J38" s="14"/>
    </row>
    <row r="39" spans="1:10" ht="15.75" customHeight="1" x14ac:dyDescent="0.35">
      <c r="A39" s="18" t="str">
        <f>CONCATENATE("cpersdo:","cell/",ROWS(A$8:A39))</f>
        <v>cpersdo:cell/32</v>
      </c>
      <c r="B39" s="15" t="s">
        <v>24</v>
      </c>
      <c r="C39" s="64" t="s">
        <v>93</v>
      </c>
      <c r="D39" s="74" t="s">
        <v>94</v>
      </c>
      <c r="E39" s="69" t="s">
        <v>39</v>
      </c>
      <c r="F39" s="63">
        <v>1</v>
      </c>
      <c r="G39" s="71" t="s">
        <v>40</v>
      </c>
      <c r="H39" s="65" t="s">
        <v>59</v>
      </c>
      <c r="I39" s="44"/>
      <c r="J39" s="14"/>
    </row>
    <row r="40" spans="1:10" ht="15.75" customHeight="1" x14ac:dyDescent="0.35">
      <c r="A40" s="18" t="str">
        <f>CONCATENATE("cpersdo:","cell/",ROWS(A$8:A40))</f>
        <v>cpersdo:cell/33</v>
      </c>
      <c r="B40" s="15" t="s">
        <v>24</v>
      </c>
      <c r="C40" s="64" t="s">
        <v>95</v>
      </c>
      <c r="D40" s="74" t="s">
        <v>96</v>
      </c>
      <c r="E40" s="69" t="s">
        <v>39</v>
      </c>
      <c r="F40" s="63">
        <v>1</v>
      </c>
      <c r="G40" s="71" t="s">
        <v>40</v>
      </c>
      <c r="H40" s="65" t="s">
        <v>59</v>
      </c>
      <c r="I40" s="44"/>
      <c r="J40" s="14"/>
    </row>
    <row r="41" spans="1:10" ht="15.75" customHeight="1" x14ac:dyDescent="0.35">
      <c r="A41" s="18" t="str">
        <f>CONCATENATE("cpersdo:","cell/",ROWS(A$8:A41))</f>
        <v>cpersdo:cell/34</v>
      </c>
      <c r="B41" s="15" t="s">
        <v>24</v>
      </c>
      <c r="C41" s="64" t="s">
        <v>97</v>
      </c>
      <c r="D41" s="64" t="s">
        <v>98</v>
      </c>
      <c r="E41" s="69" t="s">
        <v>25</v>
      </c>
      <c r="F41" s="63">
        <v>1</v>
      </c>
      <c r="G41" s="71" t="s">
        <v>41</v>
      </c>
      <c r="H41" s="65" t="s">
        <v>59</v>
      </c>
      <c r="I41" s="44"/>
      <c r="J41" s="14"/>
    </row>
    <row r="42" spans="1:10" ht="15.75" customHeight="1" x14ac:dyDescent="0.35">
      <c r="A42" s="18" t="str">
        <f>CONCATENATE("cpersdo:","cell/",ROWS(A$8:A42))</f>
        <v>cpersdo:cell/35</v>
      </c>
      <c r="B42" s="15" t="s">
        <v>24</v>
      </c>
      <c r="C42" s="64" t="s">
        <v>99</v>
      </c>
      <c r="D42" s="64" t="s">
        <v>100</v>
      </c>
      <c r="E42" s="69" t="s">
        <v>25</v>
      </c>
      <c r="F42" s="63">
        <v>1</v>
      </c>
      <c r="G42" s="71" t="s">
        <v>41</v>
      </c>
      <c r="H42" s="65" t="s">
        <v>59</v>
      </c>
      <c r="I42" s="44"/>
      <c r="J42" s="14"/>
    </row>
    <row r="43" spans="1:10" ht="15.75" customHeight="1" x14ac:dyDescent="0.35">
      <c r="A43" s="18" t="str">
        <f>CONCATENATE("cpersdo:","cell/",ROWS(A$8:A43))</f>
        <v>cpersdo:cell/36</v>
      </c>
      <c r="B43" s="15" t="s">
        <v>24</v>
      </c>
      <c r="C43" s="64" t="s">
        <v>101</v>
      </c>
      <c r="D43" s="64" t="s">
        <v>53</v>
      </c>
      <c r="E43" s="69" t="s">
        <v>39</v>
      </c>
      <c r="F43" s="63">
        <v>1</v>
      </c>
      <c r="G43" s="71" t="s">
        <v>40</v>
      </c>
      <c r="H43" s="65" t="s">
        <v>59</v>
      </c>
      <c r="I43" s="44"/>
      <c r="J43" s="14"/>
    </row>
    <row r="44" spans="1:10" ht="15.75" customHeight="1" x14ac:dyDescent="0.35">
      <c r="A44" s="18" t="str">
        <f>CONCATENATE("cpersdo:","cell/",ROWS(A$8:A44))</f>
        <v>cpersdo:cell/37</v>
      </c>
      <c r="B44" s="15" t="s">
        <v>24</v>
      </c>
      <c r="C44" s="64" t="s">
        <v>102</v>
      </c>
      <c r="D44" s="59" t="s">
        <v>103</v>
      </c>
      <c r="E44" s="69" t="s">
        <v>25</v>
      </c>
      <c r="F44" s="63">
        <v>1</v>
      </c>
      <c r="G44" s="71" t="s">
        <v>41</v>
      </c>
      <c r="H44" s="65" t="s">
        <v>59</v>
      </c>
      <c r="I44" s="44"/>
      <c r="J44" s="14"/>
    </row>
    <row r="45" spans="1:10" ht="15.75" customHeight="1" x14ac:dyDescent="0.35">
      <c r="A45" s="18" t="str">
        <f>CONCATENATE("cpersdo:","cell/",ROWS(A$8:A45))</f>
        <v>cpersdo:cell/38</v>
      </c>
      <c r="B45" s="15" t="s">
        <v>24</v>
      </c>
      <c r="C45" s="64" t="s">
        <v>104</v>
      </c>
      <c r="D45" s="68" t="s">
        <v>73</v>
      </c>
      <c r="E45" s="69" t="s">
        <v>39</v>
      </c>
      <c r="F45" s="63">
        <v>1</v>
      </c>
      <c r="G45" s="71" t="s">
        <v>40</v>
      </c>
      <c r="H45" s="65" t="s">
        <v>59</v>
      </c>
      <c r="I45" s="75" t="s">
        <v>105</v>
      </c>
      <c r="J45" s="14"/>
    </row>
    <row r="46" spans="1:10" ht="15.75" customHeight="1" x14ac:dyDescent="0.35">
      <c r="A46" s="18" t="str">
        <f>CONCATENATE("cpersdo:","cell/",ROWS(A$8:A46))</f>
        <v>cpersdo:cell/39</v>
      </c>
      <c r="B46" s="15" t="s">
        <v>24</v>
      </c>
      <c r="C46" s="64" t="s">
        <v>107</v>
      </c>
      <c r="D46" s="59" t="s">
        <v>108</v>
      </c>
      <c r="E46" s="69" t="s">
        <v>39</v>
      </c>
      <c r="F46" s="63">
        <v>1</v>
      </c>
      <c r="G46" s="71" t="s">
        <v>40</v>
      </c>
      <c r="H46" s="65" t="s">
        <v>59</v>
      </c>
      <c r="I46" s="60"/>
      <c r="J46" s="40"/>
    </row>
    <row r="47" spans="1:10" ht="15.75" customHeight="1" x14ac:dyDescent="0.35">
      <c r="A47" s="18" t="str">
        <f>CONCATENATE("cpersdo:","cell/",ROWS(A$8:A47))</f>
        <v>cpersdo:cell/40</v>
      </c>
      <c r="B47" s="15" t="s">
        <v>24</v>
      </c>
      <c r="C47" s="64" t="s">
        <v>109</v>
      </c>
      <c r="D47" s="64" t="s">
        <v>110</v>
      </c>
      <c r="E47" s="69" t="s">
        <v>25</v>
      </c>
      <c r="F47" s="63">
        <v>1</v>
      </c>
      <c r="G47" s="71" t="s">
        <v>41</v>
      </c>
      <c r="H47" s="65" t="s">
        <v>59</v>
      </c>
      <c r="I47" s="60"/>
      <c r="J47" s="14"/>
    </row>
    <row r="48" spans="1:10" ht="15.75" customHeight="1" x14ac:dyDescent="0.35">
      <c r="A48" s="18" t="str">
        <f>CONCATENATE("cpersdo:","cell/",ROWS(A$8:A48))</f>
        <v>cpersdo:cell/41</v>
      </c>
      <c r="B48" s="15" t="s">
        <v>24</v>
      </c>
      <c r="C48" s="59" t="s">
        <v>69</v>
      </c>
      <c r="D48" s="68" t="s">
        <v>46</v>
      </c>
      <c r="E48" s="69" t="s">
        <v>39</v>
      </c>
      <c r="F48" s="63">
        <v>0.7</v>
      </c>
      <c r="G48" s="71" t="s">
        <v>40</v>
      </c>
      <c r="H48" s="65" t="s">
        <v>59</v>
      </c>
      <c r="I48" s="75" t="s">
        <v>111</v>
      </c>
      <c r="J48" s="14"/>
    </row>
    <row r="49" spans="1:10" ht="15.75" customHeight="1" x14ac:dyDescent="0.35">
      <c r="A49" s="18" t="str">
        <f>CONCATENATE("cpersdo:","cell/",ROWS(A$8:A49))</f>
        <v>cpersdo:cell/42</v>
      </c>
      <c r="B49" s="15" t="s">
        <v>24</v>
      </c>
      <c r="C49" s="64" t="s">
        <v>112</v>
      </c>
      <c r="D49" s="68" t="s">
        <v>73</v>
      </c>
      <c r="E49" s="69" t="s">
        <v>39</v>
      </c>
      <c r="F49" s="63">
        <v>1</v>
      </c>
      <c r="G49" s="71" t="s">
        <v>40</v>
      </c>
      <c r="H49" s="65" t="s">
        <v>59</v>
      </c>
      <c r="I49" s="75"/>
      <c r="J49" s="14"/>
    </row>
    <row r="50" spans="1:10" ht="15.75" customHeight="1" x14ac:dyDescent="0.35">
      <c r="A50" s="18" t="str">
        <f>CONCATENATE("cpersdo:","cell/",ROWS(A$8:A50))</f>
        <v>cpersdo:cell/43</v>
      </c>
      <c r="B50" s="15" t="s">
        <v>24</v>
      </c>
      <c r="C50" s="64" t="s">
        <v>113</v>
      </c>
      <c r="D50" s="68" t="s">
        <v>73</v>
      </c>
      <c r="E50" s="69" t="s">
        <v>39</v>
      </c>
      <c r="F50" s="63">
        <v>1</v>
      </c>
      <c r="G50" s="71" t="s">
        <v>40</v>
      </c>
      <c r="H50" s="65" t="s">
        <v>59</v>
      </c>
      <c r="I50" s="44"/>
      <c r="J50" s="14"/>
    </row>
    <row r="51" spans="1:10" s="61" customFormat="1" ht="15.75" customHeight="1" x14ac:dyDescent="0.35">
      <c r="A51" s="76" t="str">
        <f>CONCATENATE("cpersdo:","cell/",ROWS(A$8:A51))</f>
        <v>cpersdo:cell/44</v>
      </c>
      <c r="B51" s="65" t="s">
        <v>24</v>
      </c>
      <c r="C51" s="64" t="s">
        <v>117</v>
      </c>
      <c r="D51" s="68"/>
      <c r="E51" s="69"/>
      <c r="F51" s="63"/>
      <c r="G51" s="71"/>
      <c r="H51" s="65"/>
      <c r="I51" s="77"/>
      <c r="J51" s="64"/>
    </row>
    <row r="52" spans="1:10" ht="15.75" customHeight="1" x14ac:dyDescent="0.35">
      <c r="A52" s="18" t="str">
        <f>CONCATENATE("cpersdo:","cell/",ROWS(A$8:A52))</f>
        <v>cpersdo:cell/45</v>
      </c>
      <c r="B52" s="15" t="s">
        <v>24</v>
      </c>
      <c r="C52" s="64" t="s">
        <v>114</v>
      </c>
      <c r="D52" s="64" t="s">
        <v>94</v>
      </c>
      <c r="E52" s="69" t="s">
        <v>25</v>
      </c>
      <c r="F52" s="63">
        <v>1</v>
      </c>
      <c r="G52" s="71" t="s">
        <v>41</v>
      </c>
      <c r="H52" s="65" t="s">
        <v>59</v>
      </c>
      <c r="I52" s="60"/>
      <c r="J52" s="14"/>
    </row>
    <row r="53" spans="1:10" ht="15.75" customHeight="1" x14ac:dyDescent="0.35">
      <c r="A53" s="18" t="str">
        <f>CONCATENATE("cpersdo:","cell/",ROWS(A$8:A53))</f>
        <v>cpersdo:cell/46</v>
      </c>
      <c r="B53" s="15" t="s">
        <v>24</v>
      </c>
      <c r="C53" s="64" t="s">
        <v>115</v>
      </c>
      <c r="D53" s="64" t="s">
        <v>96</v>
      </c>
      <c r="E53" s="69" t="s">
        <v>25</v>
      </c>
      <c r="F53" s="63">
        <v>1</v>
      </c>
      <c r="G53" s="71" t="s">
        <v>41</v>
      </c>
      <c r="H53" s="65" t="s">
        <v>59</v>
      </c>
      <c r="I53" s="14"/>
      <c r="J53" s="14"/>
    </row>
    <row r="54" spans="1:10" ht="15.75" customHeight="1" x14ac:dyDescent="0.35">
      <c r="A54" s="76" t="str">
        <f>CONCATENATE("cpersdo:","cell/",ROWS(A$8:A54))</f>
        <v>cpersdo:cell/47</v>
      </c>
      <c r="B54" s="15" t="s">
        <v>24</v>
      </c>
      <c r="C54" s="74" t="s">
        <v>116</v>
      </c>
      <c r="D54" s="40"/>
      <c r="E54" s="20"/>
      <c r="F54" s="22"/>
      <c r="G54" s="40"/>
      <c r="H54" s="15"/>
      <c r="I54" s="14"/>
      <c r="J54" s="14"/>
    </row>
    <row r="55" spans="1:10" ht="15.75" customHeight="1" x14ac:dyDescent="0.35">
      <c r="A55" s="18" t="str">
        <f>CONCATENATE("cpersdo:","cell/",ROWS(A$8:A55))</f>
        <v>cpersdo:cell/48</v>
      </c>
      <c r="B55" s="65" t="s">
        <v>24</v>
      </c>
      <c r="C55" s="78" t="s">
        <v>118</v>
      </c>
      <c r="D55" s="78" t="s">
        <v>119</v>
      </c>
      <c r="E55" s="79" t="s">
        <v>25</v>
      </c>
      <c r="F55" s="80">
        <v>1</v>
      </c>
      <c r="G55" s="81" t="s">
        <v>41</v>
      </c>
      <c r="H55" s="65" t="s">
        <v>59</v>
      </c>
      <c r="I55" s="74"/>
      <c r="J55" s="64"/>
    </row>
    <row r="56" spans="1:10" ht="15.75" customHeight="1" x14ac:dyDescent="0.35">
      <c r="A56" s="18" t="str">
        <f>CONCATENATE("cpersdo:","cell/",ROWS(A$8:A56))</f>
        <v>cpersdo:cell/49</v>
      </c>
      <c r="B56" s="65" t="s">
        <v>24</v>
      </c>
      <c r="C56" s="61" t="s">
        <v>120</v>
      </c>
      <c r="D56" s="68" t="s">
        <v>121</v>
      </c>
      <c r="E56" s="79" t="s">
        <v>25</v>
      </c>
      <c r="F56" s="80">
        <v>1</v>
      </c>
      <c r="G56" s="82" t="s">
        <v>26</v>
      </c>
      <c r="H56" s="65" t="s">
        <v>59</v>
      </c>
      <c r="I56" s="64"/>
      <c r="J56" s="64"/>
    </row>
    <row r="57" spans="1:10" s="61" customFormat="1" ht="15.75" customHeight="1" x14ac:dyDescent="0.35">
      <c r="A57" s="18" t="str">
        <f>CONCATENATE("cpersdo:","cell/",ROWS(A$8:A57))</f>
        <v>cpersdo:cell/50</v>
      </c>
      <c r="B57" s="65" t="s">
        <v>24</v>
      </c>
      <c r="C57" s="78" t="s">
        <v>122</v>
      </c>
      <c r="D57" s="78" t="s">
        <v>123</v>
      </c>
      <c r="E57" s="79" t="s">
        <v>39</v>
      </c>
      <c r="F57" s="80">
        <v>1</v>
      </c>
      <c r="G57" s="78" t="s">
        <v>40</v>
      </c>
      <c r="H57" s="65" t="s">
        <v>59</v>
      </c>
      <c r="I57" s="64"/>
      <c r="J57" s="64"/>
    </row>
    <row r="58" spans="1:10" s="61" customFormat="1" ht="15.75" customHeight="1" x14ac:dyDescent="0.35">
      <c r="A58" s="18" t="str">
        <f>CONCATENATE("cpersdo:","cell/",ROWS(A$8:A58))</f>
        <v>cpersdo:cell/51</v>
      </c>
      <c r="B58" s="65" t="s">
        <v>24</v>
      </c>
      <c r="C58" s="78" t="s">
        <v>124</v>
      </c>
      <c r="D58" s="78" t="s">
        <v>125</v>
      </c>
      <c r="E58" s="79" t="s">
        <v>25</v>
      </c>
      <c r="F58" s="83">
        <v>1</v>
      </c>
      <c r="G58" s="84" t="s">
        <v>41</v>
      </c>
      <c r="H58" s="65" t="s">
        <v>59</v>
      </c>
      <c r="I58" s="64"/>
      <c r="J58" s="64"/>
    </row>
    <row r="59" spans="1:10" s="61" customFormat="1" ht="15.75" customHeight="1" x14ac:dyDescent="0.35">
      <c r="A59" s="18" t="str">
        <f>CONCATENATE("cpersdo:","cell/",ROWS(A$8:A59))</f>
        <v>cpersdo:cell/52</v>
      </c>
      <c r="B59" s="65" t="s">
        <v>24</v>
      </c>
      <c r="C59" s="85" t="s">
        <v>126</v>
      </c>
      <c r="D59" s="59" t="s">
        <v>127</v>
      </c>
      <c r="E59" s="79" t="s">
        <v>25</v>
      </c>
      <c r="F59" s="83">
        <v>1</v>
      </c>
      <c r="G59" s="84" t="s">
        <v>41</v>
      </c>
      <c r="H59" s="65" t="s">
        <v>59</v>
      </c>
      <c r="I59" s="64"/>
      <c r="J59" s="64"/>
    </row>
    <row r="60" spans="1:10" s="61" customFormat="1" ht="15.75" customHeight="1" x14ac:dyDescent="0.25">
      <c r="E60" s="21"/>
    </row>
    <row r="61" spans="1:10" s="61" customFormat="1" ht="15.75" customHeight="1" x14ac:dyDescent="0.25">
      <c r="E61" s="21"/>
    </row>
    <row r="62" spans="1:10" s="61" customFormat="1" ht="15.75" customHeight="1" x14ac:dyDescent="0.25">
      <c r="E62" s="21"/>
    </row>
    <row r="63" spans="1:10" s="61" customFormat="1" ht="15.75" customHeight="1" x14ac:dyDescent="0.25">
      <c r="E63" s="21"/>
    </row>
    <row r="64" spans="1:10" s="61" customFormat="1" ht="15.75" customHeight="1" x14ac:dyDescent="0.25">
      <c r="E64" s="21"/>
    </row>
  </sheetData>
  <hyperlinks>
    <hyperlink ref="C2" r:id="rId1" xr:uid="{00000000-0004-0000-0100-000001000000}"/>
    <hyperlink ref="C3" r:id="rId2" xr:uid="{EA148A60-D61E-4C6B-846A-E9137506227D}"/>
    <hyperlink ref="B1" r:id="rId3" xr:uid="{7BFF306B-C2C3-4572-8862-249B438882A3}"/>
    <hyperlink ref="D8" r:id="rId4" display="http://schema.org/PostalAddress" xr:uid="{E3DD677D-4103-41A5-9D76-03B57E43645E}"/>
    <hyperlink ref="D10" r:id="rId5" display="http://schema.org/identifier" xr:uid="{8EC61A30-DD5A-4338-863B-53BF26A08B33}"/>
    <hyperlink ref="D11" r:id="rId6" display="http://schema.org/addressCountry" xr:uid="{1F2F4FAF-496D-43A6-B446-B84A914637F6}"/>
    <hyperlink ref="D12" r:id="rId7" display="http://schema.org/addressRegion" xr:uid="{9722CB4B-FE0F-4CEA-9057-3894A7C8935E}"/>
    <hyperlink ref="D14" r:id="rId8" display="http://schema.org/streetAddress" xr:uid="{0FAD4D27-0736-4368-9A59-E6B6DFD8A4B9}"/>
    <hyperlink ref="D16" r:id="rId9" display="http://schema.org/postOfficeBoxNumber" xr:uid="{4D62FCF6-68B4-44A4-AFD2-C8F6CA8DB006}"/>
    <hyperlink ref="D17" r:id="rId10" display="http://schema.org/postalCode" xr:uid="{69225E6A-8998-4640-BF89-F6B0D4853C16}"/>
    <hyperlink ref="D18" r:id="rId11" display="http://schema.org/addressLocality" xr:uid="{D29FA7D9-2219-4494-9D4D-CF2CDF788B00}"/>
    <hyperlink ref="D19" r:id="rId12" display="http://schema.org/streetAddress" xr:uid="{4453F5CF-EEAE-4AED-AB52-9890BBD8B1FC}"/>
    <hyperlink ref="D9" r:id="rId13" display="http://schema.org/addressLocality" xr:uid="{C43FC77F-100B-403D-BDFD-762B335258DA}"/>
    <hyperlink ref="C4" r:id="rId14" xr:uid="{A492FB7B-A4B8-4B4E-B125-F388D39CD3D5}"/>
    <hyperlink ref="C5" r:id="rId15" xr:uid="{D9A894F7-DB85-4079-9539-6F33F4DBE2DB}"/>
    <hyperlink ref="D15" r:id="rId16" xr:uid="{9A4231D2-6E40-4854-AEAA-98CB30B96174}"/>
    <hyperlink ref="D20" r:id="rId17" display="http://schema.org/Place" xr:uid="{CAD5D499-699E-4605-9E6D-2996C67EFD89}"/>
    <hyperlink ref="D22" r:id="rId18" display="http://schema.org/name" xr:uid="{114D6BFF-E219-417A-965E-73A0FE30E5E4}"/>
    <hyperlink ref="D34" r:id="rId19" display="http://schema.org/name" xr:uid="{7762B544-2C8F-44E6-9469-FE60059B8F51}"/>
    <hyperlink ref="D37" r:id="rId20" display="http://schema.org/name" xr:uid="{6D46216C-8658-4DFE-BB4C-8F511257EF73}"/>
    <hyperlink ref="D44" r:id="rId21" xr:uid="{7FDEC605-CC01-4427-9A3E-1808589FF26D}"/>
    <hyperlink ref="D45" r:id="rId22" display="http://schema.org/name" xr:uid="{B7CBAD40-B5CB-4D56-9342-1FC3DD49D944}"/>
    <hyperlink ref="C48" r:id="rId23" xr:uid="{EB50D44B-130D-4756-9624-0A84916DF041}"/>
    <hyperlink ref="D49" r:id="rId24" display="http://schema.org/name" xr:uid="{1E33D980-9C96-4C35-98A2-2AF6849BB80F}"/>
    <hyperlink ref="D50" r:id="rId25" display="http://schema.org/name" xr:uid="{263ABC06-A8E3-4C5A-B2A2-3667D4E402B9}"/>
    <hyperlink ref="D46" r:id="rId26" xr:uid="{22EEE72D-6E04-4A3B-A4B5-BAA3C05EE094}"/>
    <hyperlink ref="D59" r:id="rId27" xr:uid="{07400EB8-F95F-4681-A149-D952D5F78E32}"/>
  </hyperlinks>
  <pageMargins left="0.7" right="0.7" top="0.75" bottom="0.75" header="0.3" footer="0.3"/>
  <pageSetup paperSize="9" orientation="portrait" r:id="rId28"/>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Emidio Stani (BE)</cp:lastModifiedBy>
  <dcterms:created xsi:type="dcterms:W3CDTF">2023-01-25T20:20:49Z</dcterms:created>
  <dcterms:modified xsi:type="dcterms:W3CDTF">2024-03-12T15:38:40Z</dcterms:modified>
</cp:coreProperties>
</file>