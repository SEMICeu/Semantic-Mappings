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estani002\Documents\GitHub\Semantic-Mappings\Core Public Event\Schema.org\"/>
    </mc:Choice>
  </mc:AlternateContent>
  <xr:revisionPtr revIDLastSave="0" documentId="13_ncr:1_{E3CBA328-8A9A-4FA1-A565-82B377B73972}" xr6:coauthVersionLast="47" xr6:coauthVersionMax="47" xr10:uidLastSave="{00000000-0000-0000-0000-000000000000}"/>
  <bookViews>
    <workbookView xWindow="-110" yWindow="-110" windowWidth="19420" windowHeight="1150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6" i="2" l="1"/>
  <c r="A37" i="2"/>
  <c r="A38" i="2"/>
  <c r="A39" i="2"/>
  <c r="A40" i="2"/>
  <c r="A41" i="2"/>
  <c r="A42" i="2"/>
  <c r="A43" i="2"/>
  <c r="A44" i="2"/>
  <c r="A45" i="2"/>
  <c r="A46" i="2"/>
  <c r="A47" i="2"/>
  <c r="A48" i="2"/>
  <c r="A49" i="2"/>
  <c r="A50" i="2"/>
  <c r="A51" i="2"/>
  <c r="A52" i="2"/>
  <c r="A53" i="2"/>
  <c r="A54" i="2"/>
  <c r="A55" i="2"/>
  <c r="A56" i="2"/>
  <c r="A57" i="2"/>
  <c r="A58" i="2"/>
  <c r="A9" i="2" l="1"/>
  <c r="A10" i="2"/>
  <c r="A11" i="2"/>
  <c r="A12" i="2"/>
  <c r="A13" i="2"/>
  <c r="A14" i="2"/>
  <c r="A15" i="2"/>
  <c r="A16" i="2"/>
  <c r="A17" i="2"/>
  <c r="A18" i="2"/>
  <c r="A19" i="2"/>
  <c r="A20" i="2"/>
  <c r="A21" i="2"/>
  <c r="A22" i="2"/>
  <c r="A23" i="2"/>
  <c r="A24" i="2"/>
  <c r="A25" i="2"/>
  <c r="A26" i="2"/>
  <c r="A27" i="2"/>
  <c r="A28" i="2"/>
  <c r="A29" i="2"/>
  <c r="A30" i="2"/>
  <c r="A31" i="2"/>
  <c r="A32" i="2"/>
  <c r="A33" i="2"/>
  <c r="A34" i="2"/>
  <c r="A35" i="2"/>
  <c r="A8" i="2"/>
  <c r="E14" i="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<sst xmlns="http://schemas.openxmlformats.org/spreadsheetml/2006/main" count="307" uniqueCount="127">
  <si>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</si>
  <si>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</si>
  <si>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</si>
  <si>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</si>
  <si>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</si>
  <si>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</si>
  <si>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</si>
  <si>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</si>
  <si>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</si>
  <si>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</si>
  <si>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</si>
  <si>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</si>
  <si>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</si>
  <si>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</si>
  <si>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</si>
  <si>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</si>
  <si>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</si>
  <si>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</si>
  <si>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</si>
  <si>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</si>
  <si>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</si>
  <si>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</si>
  <si>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</si>
  <si>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</si>
  <si>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</si>
  <si>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</si>
  <si>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</si>
  <si>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</si>
  <si>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</si>
  <si>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</si>
  <si>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</si>
  <si>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</si>
  <si>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</si>
  <si>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</si>
  <si>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</si>
  <si>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</si>
  <si>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</si>
  <si>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</si>
  <si>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</si>
  <si>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</si>
  <si>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</si>
  <si>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</si>
  <si>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</si>
  <si>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</si>
  <si>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</si>
  <si>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</si>
  <si>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</si>
  <si>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</si>
  <si>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</si>
  <si>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</si>
  <si>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</si>
  <si>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</si>
  <si>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https://schema.org/name</t>
  </si>
  <si>
    <t>https://schema.org/location</t>
  </si>
  <si>
    <t>rdfs:comment</t>
  </si>
  <si>
    <t>15</t>
  </si>
  <si>
    <t>http://data.europa.eu/m8g/</t>
  </si>
  <si>
    <t>sssom:mapping_justification</t>
  </si>
  <si>
    <t>semapv</t>
  </si>
  <si>
    <t>https://w3id.org/semapv/vocab/</t>
  </si>
  <si>
    <t>semapv:MappingReview</t>
  </si>
  <si>
    <t>owl:annotatedProperty</t>
  </si>
  <si>
    <t>Alignment of Core Business with Schema.org</t>
  </si>
  <si>
    <t>It describes an alignment between Core Business and Schema.org.
The spreadsheet can be converted in RDF format using SKOS Play!. The RDF format are based on the Aligment Format and on SSSOM.</t>
  </si>
  <si>
    <t>2.0.0</t>
  </si>
  <si>
    <t>http://purl.org/dc/terms/identifier</t>
  </si>
  <si>
    <t>http://mapping.semic.eu/cpev/sdo</t>
  </si>
  <si>
    <t>cpevsdo</t>
  </si>
  <si>
    <t>http://mapping.semic.eu/cpev/sdo/</t>
  </si>
  <si>
    <t>In Core Business addressArea is for a part of city while schema:addressLocality could indicate a city.</t>
  </si>
  <si>
    <t>If schema:location is expressed as Text, locatorName could be equivalent.</t>
  </si>
  <si>
    <t>http://xmlns.com/foaf/0.1/Agent</t>
  </si>
  <si>
    <t>http://purl.org/dc/terms/title</t>
  </si>
  <si>
    <t>http://data.europa.eu/m8g/participates</t>
  </si>
  <si>
    <t>http://data.europa.eu/m8g/ContactPoint</t>
  </si>
  <si>
    <t>http://data.europa.eu/m8g/specialOpeningHoursSpecification</t>
  </si>
  <si>
    <t>http://data.europa.eu/m8g/contactPage</t>
  </si>
  <si>
    <t>http://data.europa.eu/m8g/email</t>
  </si>
  <si>
    <t>http://data.europa.eu/m8g/telephone</t>
  </si>
  <si>
    <t>http://data.europa.eu/m8g/openingHours</t>
  </si>
  <si>
    <t>http://data.europa.eu/m8g/Participation</t>
  </si>
  <si>
    <t>http://purl.org/dc/terms/description</t>
  </si>
  <si>
    <t>http://data.europa.eu/m8g/hasParticipant</t>
  </si>
  <si>
    <t>http://www.w3.org/2006/time#hasTime</t>
  </si>
  <si>
    <t>http://www.w3.org/ns/org#identifier</t>
  </si>
  <si>
    <t>http://data.europa.eu/m8g/role</t>
  </si>
  <si>
    <t>http://data.europa.eu/m8g/PublicEvent</t>
  </si>
  <si>
    <t>http://data.europa.eu/m8g/accessibility</t>
  </si>
  <si>
    <t>http://data.europa.eu/m8g/audience</t>
  </si>
  <si>
    <t>http://data.europa.eu/m8g/contactPoint</t>
  </si>
  <si>
    <t>http://data.europa.eu/m8g/eventNumber</t>
  </si>
  <si>
    <t>http://purl.org/dc/terms/type</t>
  </si>
  <si>
    <t>http://data.europa.eu/m8g/format</t>
  </si>
  <si>
    <t>http://data.europa.eu/m8g/hasNextEvent</t>
  </si>
  <si>
    <t>http://data.europa.eu/m8g/hasParticipation</t>
  </si>
  <si>
    <t>http://data.europa.eu/m8g/hasPreviousEvent</t>
  </si>
  <si>
    <t>http://xmlns.com/foaf/0.1/homepage</t>
  </si>
  <si>
    <t>http://purl.org/dc/terms/language</t>
  </si>
  <si>
    <t>http://data.europa.eu/m8g/parentEvent</t>
  </si>
  <si>
    <t>http://data.europa.eu/m8g/registrationPage</t>
  </si>
  <si>
    <t>http://data.europa.eu/m8g/subEvent</t>
  </si>
  <si>
    <t>http://purl.org/dc/terms/subject</t>
  </si>
  <si>
    <t>http://www.w3.org/2006/time#TemporalEntity</t>
  </si>
  <si>
    <t>http://data.europa.eu/m8g/frequency</t>
  </si>
  <si>
    <t>https://schema.org/inLanguage</t>
  </si>
  <si>
    <t>The target entity can have multiple values</t>
  </si>
  <si>
    <t>https://schema.org/description</t>
  </si>
  <si>
    <t>In CPEV it denotes an identifier for an Agent</t>
  </si>
  <si>
    <t>In CPEV it denotes an identifier for a Participation</t>
  </si>
  <si>
    <t>https://schema.org/subEvent</t>
  </si>
  <si>
    <t>In CPEV it denotes a subEvent of a Public Event</t>
  </si>
  <si>
    <t>https://schema.org/superEvent</t>
  </si>
  <si>
    <t>In CPEV it denotes a the parent event of a Public Event</t>
  </si>
  <si>
    <t>https://schema.org/about</t>
  </si>
  <si>
    <t>In CPEV it denotes a description of a Temporal Entity</t>
  </si>
  <si>
    <t>https://schema.org/WebPage</t>
  </si>
  <si>
    <t>In CPEV it denotes a description of a Public Event</t>
  </si>
  <si>
    <t>https://schema.org/ContactPoint</t>
  </si>
  <si>
    <t>https://schema.org/email</t>
  </si>
  <si>
    <t>https://schema.org/telephone</t>
  </si>
  <si>
    <t>https://schema.org/specialOpeningHoursSpecification</t>
  </si>
  <si>
    <t>https://schema.org/openingHours</t>
  </si>
  <si>
    <t>In CPEV it denotes the language of a Public Event</t>
  </si>
  <si>
    <t>In CPEV it denotes an identifier of a Public Event</t>
  </si>
  <si>
    <t>https://schema.org/repeatFrequency</t>
  </si>
  <si>
    <t>https://schema.org/Event</t>
  </si>
  <si>
    <t>rdfs:subClassOf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</si>
</sst>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19">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right style="thin">
        <color rgb="FF000000"/>
      </right>
      <top/>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2">
    <xf numFmtId="0" fontId="0" fillId="0" borderId="0"/>
    <xf numFmtId="0" fontId="10" fillId="0" borderId="0" applyNumberFormat="0" applyFill="0" applyBorder="0" applyAlignment="0" applyProtection="0"/>
  </cellStyleXfs>
  <cellXfs count="75">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2" fillId="0" borderId="9" xfId="0" applyFont="1" applyBorder="1"/>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9" fillId="0" borderId="10"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2" fillId="0" borderId="12" xfId="0" applyFont="1" applyBorder="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5" fillId="0" borderId="10"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3" xfId="0" applyFont="1" applyBorder="1"/>
    <xf numFmtId="0" fontId="13" fillId="0" borderId="11" xfId="0" applyFont="1" applyBorder="1"/>
    <xf numFmtId="0" fontId="0" fillId="0" borderId="8" xfId="0" applyBorder="1" applyAlignment="1">
      <alignment horizontal="center"/>
    </xf>
    <xf numFmtId="0" fontId="0" fillId="0" borderId="11" xfId="0" applyBorder="1"/>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2" fillId="0" borderId="0" xfId="0" applyFont="1"/>
    <xf numFmtId="0" fontId="0" fillId="0" borderId="14" xfId="0" applyBorder="1"/>
    <xf numFmtId="0" fontId="1" fillId="2" borderId="14" xfId="0" applyFont="1" applyFill="1" applyBorder="1"/>
    <xf numFmtId="0" fontId="13" fillId="0" borderId="14"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165" fontId="1" fillId="0" borderId="3" xfId="0" applyNumberFormat="1" applyFont="1" applyBorder="1" applyAlignment="1">
      <alignment horizontal="right"/>
    </xf>
    <xf numFmtId="0" fontId="14" fillId="0" borderId="8" xfId="0" applyFont="1" applyBorder="1" applyAlignment="1">
      <alignment horizontal="center"/>
    </xf>
    <xf numFmtId="0" fontId="1" fillId="0" borderId="8" xfId="0" applyFont="1" applyBorder="1"/>
    <xf numFmtId="0" fontId="14" fillId="0" borderId="14" xfId="0" applyFont="1" applyBorder="1"/>
    <xf numFmtId="0" fontId="14" fillId="0" borderId="11" xfId="0" applyFont="1" applyBorder="1"/>
    <xf numFmtId="0" fontId="0" fillId="0" borderId="15" xfId="0" quotePrefix="1" applyBorder="1"/>
    <xf numFmtId="0" fontId="10" fillId="0" borderId="15" xfId="1" applyBorder="1" applyAlignment="1"/>
    <xf numFmtId="0" fontId="2" fillId="0" borderId="16" xfId="0" applyFont="1" applyBorder="1"/>
    <xf numFmtId="0" fontId="0" fillId="0" borderId="16" xfId="0" quotePrefix="1" applyBorder="1"/>
    <xf numFmtId="0" fontId="10" fillId="0" borderId="16" xfId="1" applyBorder="1" applyAlignment="1"/>
    <xf numFmtId="0" fontId="0" fillId="0" borderId="16" xfId="0" applyBorder="1" applyAlignment="1">
      <alignment horizontal="center"/>
    </xf>
    <xf numFmtId="165" fontId="2" fillId="0" borderId="9" xfId="0" applyNumberFormat="1" applyFont="1" applyBorder="1" applyAlignment="1">
      <alignment horizontal="right"/>
    </xf>
    <xf numFmtId="0" fontId="13" fillId="0" borderId="17" xfId="0" applyFont="1" applyBorder="1"/>
    <xf numFmtId="0" fontId="0" fillId="0" borderId="18" xfId="0" applyBorder="1"/>
    <xf numFmtId="0" fontId="9" fillId="0" borderId="8" xfId="0" applyFont="1" applyBorder="1"/>
    <xf numFmtId="0" fontId="10" fillId="0" borderId="8" xfId="1" applyBorder="1"/>
    <xf numFmtId="0" fontId="12" fillId="2" borderId="10" xfId="0" applyFont="1" applyFill="1" applyBorder="1"/>
    <xf numFmtId="0" fontId="2" fillId="0" borderId="15" xfId="0" applyFont="1" applyBorder="1"/>
    <xf numFmtId="0" fontId="12" fillId="2" borderId="8" xfId="0" applyFont="1" applyFill="1" applyBorder="1"/>
    <xf numFmtId="0" fontId="5" fillId="0" borderId="4" xfId="0" applyFont="1" applyBorder="1"/>
    <xf numFmtId="0" fontId="6" fillId="0" borderId="2" xfId="0" applyFont="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ev/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pev/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pev/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addressCountry" TargetMode="External"/><Relationship Id="rId13" Type="http://schemas.openxmlformats.org/officeDocument/2006/relationships/hyperlink" Target="http://schema.org/addressLocality" TargetMode="External"/><Relationship Id="rId18" Type="http://schemas.openxmlformats.org/officeDocument/2006/relationships/hyperlink" Target="https://schema.org/inLanguage" TargetMode="External"/><Relationship Id="rId26" Type="http://schemas.openxmlformats.org/officeDocument/2006/relationships/hyperlink" Target="https://schema.org/name" TargetMode="External"/><Relationship Id="rId3" Type="http://schemas.openxmlformats.org/officeDocument/2006/relationships/hyperlink" Target="http://mapping.semic.eu/cpev/sdo" TargetMode="External"/><Relationship Id="rId21" Type="http://schemas.openxmlformats.org/officeDocument/2006/relationships/hyperlink" Target="https://schema.org/identifier" TargetMode="External"/><Relationship Id="rId7" Type="http://schemas.openxmlformats.org/officeDocument/2006/relationships/hyperlink" Target="http://schema.org/identifier" TargetMode="External"/><Relationship Id="rId12" Type="http://schemas.openxmlformats.org/officeDocument/2006/relationships/hyperlink" Target="http://schema.org/postalCode" TargetMode="External"/><Relationship Id="rId17" Type="http://schemas.openxmlformats.org/officeDocument/2006/relationships/hyperlink" Target="https://schema.org/location" TargetMode="External"/><Relationship Id="rId25" Type="http://schemas.openxmlformats.org/officeDocument/2006/relationships/hyperlink" Target="https://schema.org/name" TargetMode="External"/><Relationship Id="rId2" Type="http://schemas.openxmlformats.org/officeDocument/2006/relationships/hyperlink" Target="http://mapping.semic.eu/cpev/sdo/" TargetMode="External"/><Relationship Id="rId16" Type="http://schemas.openxmlformats.org/officeDocument/2006/relationships/hyperlink" Target="https://schema.org/name" TargetMode="External"/><Relationship Id="rId20" Type="http://schemas.openxmlformats.org/officeDocument/2006/relationships/hyperlink" Target="https://schema.org/subEvent"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PostalAddress" TargetMode="External"/><Relationship Id="rId11" Type="http://schemas.openxmlformats.org/officeDocument/2006/relationships/hyperlink" Target="http://schema.org/postOfficeBoxNumber" TargetMode="External"/><Relationship Id="rId24" Type="http://schemas.openxmlformats.org/officeDocument/2006/relationships/hyperlink" Target="https://schema.org/description" TargetMode="External"/><Relationship Id="rId5" Type="http://schemas.openxmlformats.org/officeDocument/2006/relationships/hyperlink" Target="https://w3id.org/semapv/vocab/" TargetMode="External"/><Relationship Id="rId15" Type="http://schemas.openxmlformats.org/officeDocument/2006/relationships/hyperlink" Target="http://schema.org/addressLocality" TargetMode="External"/><Relationship Id="rId23" Type="http://schemas.openxmlformats.org/officeDocument/2006/relationships/hyperlink" Target="https://schema.org/description" TargetMode="External"/><Relationship Id="rId28" Type="http://schemas.openxmlformats.org/officeDocument/2006/relationships/printerSettings" Target="../printerSettings/printerSettings2.bin"/><Relationship Id="rId10" Type="http://schemas.openxmlformats.org/officeDocument/2006/relationships/hyperlink" Target="http://schema.org/streetAddress" TargetMode="External"/><Relationship Id="rId19" Type="http://schemas.openxmlformats.org/officeDocument/2006/relationships/hyperlink" Target="https://schema.org/description" TargetMode="External"/><Relationship Id="rId4" Type="http://schemas.openxmlformats.org/officeDocument/2006/relationships/hyperlink" Target="https://w3id.org/sssom/" TargetMode="External"/><Relationship Id="rId9" Type="http://schemas.openxmlformats.org/officeDocument/2006/relationships/hyperlink" Target="http://schema.org/addressRegion" TargetMode="External"/><Relationship Id="rId14" Type="http://schemas.openxmlformats.org/officeDocument/2006/relationships/hyperlink" Target="http://schema.org/streetAddress" TargetMode="External"/><Relationship Id="rId22" Type="http://schemas.openxmlformats.org/officeDocument/2006/relationships/hyperlink" Target="https://schema.org/superEvent" TargetMode="External"/><Relationship Id="rId27" Type="http://schemas.openxmlformats.org/officeDocument/2006/relationships/hyperlink" Target="https://schema.org/telephon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workbookViewId="0">
      <selection activeCell="E15" sqref="E15"/>
    </sheetView>
  </sheetViews>
  <sheetFormatPr defaultColWidth="12.7265625" defaultRowHeight="15.75" customHeight="1" x14ac:dyDescent="0.25"/>
  <cols>
    <col min="1" max="1" width="20.54296875" customWidth="1"/>
    <col min="2" max="2" width="38.81640625" customWidth="1"/>
    <col min="3" max="3" width="35.453125" customWidth="1"/>
    <col min="4" max="4" width="16.7265625" bestFit="1" customWidth="1"/>
    <col min="5" max="5" width="85.81640625" customWidth="1"/>
    <col min="6" max="6" width="28" bestFit="1" customWidth="1"/>
    <col min="7" max="7" width="27" bestFit="1" customWidth="1"/>
  </cols>
  <sheetData>
    <row r="1" spans="1:7" ht="13" x14ac:dyDescent="0.3">
      <c r="A1" s="1" t="s">
        <v>0</v>
      </c>
      <c r="B1" s="24" t="s">
        <v>66</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67</v>
      </c>
      <c r="C4" s="24" t="s">
        <v>68</v>
      </c>
      <c r="D4" s="2"/>
      <c r="E4" s="2"/>
      <c r="F4" s="2"/>
      <c r="G4" s="5"/>
    </row>
    <row r="5" spans="1:7" ht="13" x14ac:dyDescent="0.3">
      <c r="A5" s="1" t="s">
        <v>6</v>
      </c>
      <c r="B5" s="12" t="s">
        <v>19</v>
      </c>
      <c r="C5" s="2"/>
      <c r="D5" s="2"/>
      <c r="E5" s="2"/>
      <c r="F5" s="2"/>
      <c r="G5" s="5"/>
    </row>
    <row r="6" spans="1:7" ht="13" x14ac:dyDescent="0.3">
      <c r="A6" s="1" t="s">
        <v>7</v>
      </c>
      <c r="B6" s="7">
        <v>44951</v>
      </c>
      <c r="C6" s="2"/>
      <c r="D6" s="2"/>
      <c r="E6" s="2"/>
      <c r="F6" s="2"/>
      <c r="G6" s="5"/>
    </row>
    <row r="7" spans="1:7" ht="13" x14ac:dyDescent="0.3">
      <c r="A7" s="1" t="s">
        <v>43</v>
      </c>
      <c r="B7" s="73" t="s">
        <v>8</v>
      </c>
      <c r="C7" s="74"/>
      <c r="D7" s="2"/>
      <c r="E7" s="2"/>
      <c r="F7" s="2"/>
      <c r="G7" s="5"/>
    </row>
    <row r="8" spans="1:7" ht="13" x14ac:dyDescent="0.3">
      <c r="A8" s="1" t="s">
        <v>9</v>
      </c>
      <c r="B8" s="8" t="s">
        <v>10</v>
      </c>
      <c r="C8" s="2"/>
      <c r="D8" s="2"/>
      <c r="E8" s="2"/>
      <c r="F8" s="2"/>
      <c r="G8" s="5"/>
    </row>
    <row r="9" spans="1:7" ht="13" x14ac:dyDescent="0.3">
      <c r="A9" s="1" t="s">
        <v>11</v>
      </c>
      <c r="B9" s="2" t="s">
        <v>62</v>
      </c>
      <c r="C9" s="2"/>
      <c r="D9" s="2"/>
      <c r="E9" s="2"/>
      <c r="F9" s="2"/>
      <c r="G9" s="5"/>
    </row>
    <row r="10" spans="1:7" ht="76.150000000000006" customHeight="1" x14ac:dyDescent="0.3">
      <c r="A10" s="1" t="s">
        <v>12</v>
      </c>
      <c r="B10" s="52" t="s">
        <v>63</v>
      </c>
      <c r="C10" s="2"/>
      <c r="D10" s="2"/>
      <c r="E10" s="2"/>
      <c r="F10" s="2"/>
      <c r="G10" s="5"/>
    </row>
    <row r="11" spans="1:7" ht="15.75" customHeight="1" x14ac:dyDescent="0.25">
      <c r="A11" s="2"/>
      <c r="B11" s="2"/>
      <c r="C11" s="2"/>
      <c r="D11" s="2"/>
      <c r="E11" s="2"/>
      <c r="F11" s="2"/>
      <c r="G11" s="5"/>
    </row>
    <row r="12" spans="1:7" ht="15.75" customHeight="1" x14ac:dyDescent="0.25">
      <c r="A12" s="25"/>
      <c r="B12" s="25"/>
      <c r="C12" s="25"/>
      <c r="D12" s="25"/>
      <c r="E12" s="25"/>
      <c r="F12" s="25"/>
      <c r="G12" s="14"/>
    </row>
    <row r="13" spans="1:7" ht="15.75" customHeight="1" x14ac:dyDescent="0.3">
      <c r="A13" s="27" t="s">
        <v>13</v>
      </c>
      <c r="B13" s="27" t="s">
        <v>6</v>
      </c>
      <c r="C13" s="27" t="s">
        <v>14</v>
      </c>
      <c r="D13" s="27" t="s">
        <v>15</v>
      </c>
      <c r="E13" s="27" t="s">
        <v>16</v>
      </c>
      <c r="F13" s="27" t="s">
        <v>17</v>
      </c>
      <c r="G13" s="27" t="s">
        <v>18</v>
      </c>
    </row>
    <row r="14" spans="1:7" ht="30.4" customHeight="1" x14ac:dyDescent="0.25">
      <c r="A14" s="24" t="s">
        <v>66</v>
      </c>
      <c r="B14" s="12" t="s">
        <v>19</v>
      </c>
      <c r="C14" s="26" t="s">
        <v>56</v>
      </c>
      <c r="D14" s="26" t="s">
        <v>44</v>
      </c>
      <c r="E14" s="36" t="str" cm="1">
        <f t="array" aca="1" ref="E14" ca="1">ConcatNoStrike(mapping!A8:A58,",")</f>
        <v>cpevsdo:cell/1,cpevsdo:cell/2,cpevsdo:cell/3,cpevsdo:cell/4,cpevsdo:cell/5,cpevsdo:cell/6,cpevsdo:cell/7,cpevsdo:cell/8,cpevsdo:cell/9,cpevsdo:cell/10,cpevsdo:cell/11,cpevsdo:cell/12,cpevsdo:cell/14,cpevsdo:cell/15,cpevsdo:cell/17,cpevsdo:cell/18,cpevsdo:cell/20,cpevsdo:cell/21,cpevsdo:cell/22,cpevsdo:cell/24,cpevsdo:cell/27,cpevsdo:cell/29,cpevsdo:cell/33,cpevsdo:cell/42,cpevsdo:cell/43,cpevsdo:cell/44,cpevsdo:cell/45,cpevsdo:cell/46,cpevsdo:cell/47,cpevsdo:cell/48,cpevsdo:cell/50,cpevsdo:cell/51,</v>
      </c>
      <c r="F14" s="45" t="s">
        <v>64</v>
      </c>
      <c r="G14" s="46" t="s">
        <v>55</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ignoredErrors>
    <ignoredError sqref="G14"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58"/>
  <sheetViews>
    <sheetView tabSelected="1" topLeftCell="A34" workbookViewId="0">
      <selection activeCell="A36" sqref="A36:H36"/>
    </sheetView>
  </sheetViews>
  <sheetFormatPr defaultColWidth="12.7265625" defaultRowHeight="15.75" customHeight="1" x14ac:dyDescent="0.25"/>
  <cols>
    <col min="1" max="1" width="14.26953125" customWidth="1"/>
    <col min="2" max="2" width="10.453125" customWidth="1"/>
    <col min="3" max="3" width="52.81640625" bestFit="1" customWidth="1"/>
    <col min="4" max="4" width="34.26953125" bestFit="1" customWidth="1"/>
    <col min="5" max="5" width="12.7265625" style="22"/>
    <col min="6" max="6" width="23.26953125" bestFit="1" customWidth="1"/>
    <col min="7" max="7" width="21.26953125" bestFit="1" customWidth="1"/>
    <col min="8" max="8" width="21.26953125" customWidth="1"/>
    <col min="9" max="9" width="67.7265625" customWidth="1"/>
    <col min="10" max="10" width="34.453125" bestFit="1" customWidth="1"/>
  </cols>
  <sheetData>
    <row r="1" spans="1:10" ht="13" x14ac:dyDescent="0.3">
      <c r="A1" s="1" t="s">
        <v>0</v>
      </c>
      <c r="B1" s="24" t="s">
        <v>66</v>
      </c>
      <c r="C1" s="16"/>
      <c r="D1" s="9"/>
      <c r="E1" s="30"/>
      <c r="F1" s="3"/>
      <c r="G1" s="9"/>
      <c r="H1" s="16"/>
      <c r="I1" s="48"/>
    </row>
    <row r="2" spans="1:10" ht="13" x14ac:dyDescent="0.3">
      <c r="A2" s="10" t="s">
        <v>1</v>
      </c>
      <c r="B2" s="11" t="s">
        <v>2</v>
      </c>
      <c r="C2" s="32" t="s">
        <v>3</v>
      </c>
      <c r="D2" s="11"/>
      <c r="E2" s="30"/>
      <c r="F2" s="5"/>
      <c r="G2" s="11"/>
      <c r="H2" s="16"/>
      <c r="I2" s="48"/>
    </row>
    <row r="3" spans="1:10" ht="13" x14ac:dyDescent="0.3">
      <c r="A3" s="1" t="s">
        <v>1</v>
      </c>
      <c r="B3" s="31" t="s">
        <v>67</v>
      </c>
      <c r="C3" s="24" t="s">
        <v>68</v>
      </c>
      <c r="D3" s="11"/>
      <c r="E3" s="30"/>
      <c r="F3" s="5"/>
      <c r="G3" s="11"/>
      <c r="H3" s="16"/>
      <c r="I3" s="48"/>
    </row>
    <row r="4" spans="1:10" ht="13" x14ac:dyDescent="0.3">
      <c r="A4" s="10" t="s">
        <v>1</v>
      </c>
      <c r="B4" s="11" t="s">
        <v>4</v>
      </c>
      <c r="C4" s="51" t="s">
        <v>5</v>
      </c>
      <c r="D4" s="11"/>
      <c r="E4" s="30"/>
      <c r="F4" s="5"/>
      <c r="G4" s="11"/>
      <c r="H4" s="16"/>
      <c r="I4" s="48"/>
    </row>
    <row r="5" spans="1:10" ht="15.75" customHeight="1" x14ac:dyDescent="0.3">
      <c r="A5" s="10" t="s">
        <v>1</v>
      </c>
      <c r="B5" s="11" t="s">
        <v>58</v>
      </c>
      <c r="C5" s="20" t="s">
        <v>59</v>
      </c>
      <c r="D5" s="11"/>
      <c r="E5" s="30"/>
      <c r="F5" s="5"/>
      <c r="G5" s="11"/>
      <c r="H5" s="16"/>
      <c r="I5" s="48"/>
    </row>
    <row r="6" spans="1:10" ht="15.75" customHeight="1" x14ac:dyDescent="0.25">
      <c r="A6" s="12"/>
      <c r="B6" s="47"/>
      <c r="C6" s="47"/>
      <c r="D6" s="47"/>
      <c r="E6" s="30"/>
      <c r="F6" s="5"/>
      <c r="G6" s="11"/>
      <c r="H6" s="16"/>
      <c r="I6" s="48"/>
    </row>
    <row r="7" spans="1:10" ht="15.75" customHeight="1" x14ac:dyDescent="0.3">
      <c r="A7" s="70" t="s">
        <v>13</v>
      </c>
      <c r="B7" s="72" t="s">
        <v>6</v>
      </c>
      <c r="C7" s="72" t="s">
        <v>20</v>
      </c>
      <c r="D7" s="72" t="s">
        <v>21</v>
      </c>
      <c r="E7" s="28" t="s">
        <v>22</v>
      </c>
      <c r="F7" s="29" t="s">
        <v>23</v>
      </c>
      <c r="G7" s="53" t="s">
        <v>61</v>
      </c>
      <c r="H7" s="44" t="s">
        <v>57</v>
      </c>
      <c r="I7" s="49" t="s">
        <v>12</v>
      </c>
      <c r="J7" s="44" t="s">
        <v>54</v>
      </c>
    </row>
    <row r="8" spans="1:10" ht="15.75" customHeight="1" x14ac:dyDescent="0.35">
      <c r="A8" s="19" t="str">
        <f>CONCATENATE("cpevsdo:","cell/",ROWS(A$8:A8))</f>
        <v>cpevsdo:cell/1</v>
      </c>
      <c r="B8" s="71" t="s">
        <v>24</v>
      </c>
      <c r="C8" s="59" t="s">
        <v>27</v>
      </c>
      <c r="D8" s="60" t="s">
        <v>45</v>
      </c>
      <c r="E8" s="37" t="s">
        <v>25</v>
      </c>
      <c r="F8" s="23">
        <v>1</v>
      </c>
      <c r="G8" s="11" t="s">
        <v>26</v>
      </c>
      <c r="H8" s="16" t="s">
        <v>60</v>
      </c>
      <c r="I8" s="48"/>
      <c r="J8" s="15"/>
    </row>
    <row r="9" spans="1:10" ht="15.75" customHeight="1" x14ac:dyDescent="0.35">
      <c r="A9" s="19" t="str">
        <f>CONCATENATE("cpevsdo:","cell/",ROWS(A$8:A9))</f>
        <v>cpevsdo:cell/2</v>
      </c>
      <c r="B9" s="34" t="s">
        <v>24</v>
      </c>
      <c r="C9" s="35" t="s">
        <v>28</v>
      </c>
      <c r="D9" s="20" t="s">
        <v>51</v>
      </c>
      <c r="E9" s="38" t="s">
        <v>39</v>
      </c>
      <c r="F9" s="23">
        <v>1</v>
      </c>
      <c r="G9" s="39" t="s">
        <v>40</v>
      </c>
      <c r="H9" s="16" t="s">
        <v>60</v>
      </c>
      <c r="I9" s="50" t="s">
        <v>69</v>
      </c>
      <c r="J9" s="15"/>
    </row>
    <row r="10" spans="1:10" ht="15.75" customHeight="1" x14ac:dyDescent="0.35">
      <c r="A10" s="19" t="str">
        <f>CONCATENATE("cpevsdo:","cell/",ROWS(A$8:A10))</f>
        <v>cpevsdo:cell/3</v>
      </c>
      <c r="B10" s="16" t="s">
        <v>24</v>
      </c>
      <c r="C10" s="17" t="s">
        <v>29</v>
      </c>
      <c r="D10" s="20" t="s">
        <v>46</v>
      </c>
      <c r="E10" s="21" t="s">
        <v>39</v>
      </c>
      <c r="F10" s="23">
        <v>1</v>
      </c>
      <c r="G10" s="39" t="s">
        <v>40</v>
      </c>
      <c r="H10" s="16" t="s">
        <v>60</v>
      </c>
      <c r="I10" s="48"/>
      <c r="J10" s="43" t="s">
        <v>105</v>
      </c>
    </row>
    <row r="11" spans="1:10" ht="15.75" customHeight="1" x14ac:dyDescent="0.35">
      <c r="A11" s="19" t="str">
        <f>CONCATENATE("cpevsdo:","cell/",ROWS(A$8:A11))</f>
        <v>cpevsdo:cell/4</v>
      </c>
      <c r="B11" s="16" t="s">
        <v>24</v>
      </c>
      <c r="C11" s="17" t="s">
        <v>30</v>
      </c>
      <c r="D11" s="20" t="s">
        <v>47</v>
      </c>
      <c r="E11" s="21" t="s">
        <v>39</v>
      </c>
      <c r="F11" s="23">
        <v>0.7</v>
      </c>
      <c r="G11" s="39" t="s">
        <v>40</v>
      </c>
      <c r="H11" s="16" t="s">
        <v>60</v>
      </c>
      <c r="I11" s="48"/>
      <c r="J11" s="43" t="s">
        <v>105</v>
      </c>
    </row>
    <row r="12" spans="1:10" ht="15.75" customHeight="1" x14ac:dyDescent="0.35">
      <c r="A12" s="19" t="str">
        <f>CONCATENATE("cpevsdo:","cell/",ROWS(A$8:A12))</f>
        <v>cpevsdo:cell/5</v>
      </c>
      <c r="B12" s="16" t="s">
        <v>24</v>
      </c>
      <c r="C12" s="17" t="s">
        <v>31</v>
      </c>
      <c r="D12" s="20" t="s">
        <v>48</v>
      </c>
      <c r="E12" s="21" t="s">
        <v>25</v>
      </c>
      <c r="F12" s="23">
        <v>1</v>
      </c>
      <c r="G12" s="40" t="s">
        <v>41</v>
      </c>
      <c r="H12" s="16" t="s">
        <v>60</v>
      </c>
      <c r="I12" s="48"/>
      <c r="J12" s="15"/>
    </row>
    <row r="13" spans="1:10" ht="15.75" customHeight="1" x14ac:dyDescent="0.35">
      <c r="A13" s="19" t="str">
        <f>CONCATENATE("cpevsdo:","cell/",ROWS(A$8:A13))</f>
        <v>cpevsdo:cell/6</v>
      </c>
      <c r="B13" s="16" t="s">
        <v>24</v>
      </c>
      <c r="C13" s="17" t="s">
        <v>32</v>
      </c>
      <c r="D13" s="20" t="s">
        <v>52</v>
      </c>
      <c r="E13" s="21" t="s">
        <v>39</v>
      </c>
      <c r="F13" s="23">
        <v>1</v>
      </c>
      <c r="G13" s="39" t="s">
        <v>40</v>
      </c>
      <c r="H13" s="16" t="s">
        <v>60</v>
      </c>
      <c r="I13" s="57"/>
      <c r="J13" s="15"/>
    </row>
    <row r="14" spans="1:10" ht="15.75" customHeight="1" x14ac:dyDescent="0.35">
      <c r="A14" s="19" t="str">
        <f>CONCATENATE("cpevsdo:","cell/",ROWS(A$8:A14))</f>
        <v>cpevsdo:cell/7</v>
      </c>
      <c r="B14" s="16" t="s">
        <v>24</v>
      </c>
      <c r="C14" s="17" t="s">
        <v>33</v>
      </c>
      <c r="D14" s="20" t="s">
        <v>49</v>
      </c>
      <c r="E14" s="21" t="s">
        <v>39</v>
      </c>
      <c r="F14" s="13">
        <v>1</v>
      </c>
      <c r="G14" s="39" t="s">
        <v>40</v>
      </c>
      <c r="H14" s="16" t="s">
        <v>60</v>
      </c>
      <c r="I14" s="48"/>
      <c r="J14" s="15"/>
    </row>
    <row r="15" spans="1:10" ht="15.75" customHeight="1" x14ac:dyDescent="0.35">
      <c r="A15" s="19" t="str">
        <f>CONCATENATE("cpevsdo:","cell/",ROWS(A$8:A15))</f>
        <v>cpevsdo:cell/8</v>
      </c>
      <c r="B15" s="16" t="s">
        <v>24</v>
      </c>
      <c r="C15" s="17" t="s">
        <v>34</v>
      </c>
      <c r="D15" s="20" t="s">
        <v>53</v>
      </c>
      <c r="E15" s="21" t="s">
        <v>39</v>
      </c>
      <c r="F15" s="13">
        <v>0.7</v>
      </c>
      <c r="G15" s="39" t="s">
        <v>40</v>
      </c>
      <c r="H15" s="16" t="s">
        <v>60</v>
      </c>
      <c r="I15" s="50" t="s">
        <v>70</v>
      </c>
      <c r="J15" s="43" t="s">
        <v>105</v>
      </c>
    </row>
    <row r="16" spans="1:10" ht="15.75" customHeight="1" x14ac:dyDescent="0.35">
      <c r="A16" s="19" t="str">
        <f>CONCATENATE("cpevsdo:","cell/",ROWS(A$8:A16))</f>
        <v>cpevsdo:cell/9</v>
      </c>
      <c r="B16" s="16" t="s">
        <v>24</v>
      </c>
      <c r="C16" s="17" t="s">
        <v>35</v>
      </c>
      <c r="D16" s="20" t="s">
        <v>50</v>
      </c>
      <c r="E16" s="21" t="s">
        <v>25</v>
      </c>
      <c r="F16" s="13">
        <v>1</v>
      </c>
      <c r="G16" s="40" t="s">
        <v>41</v>
      </c>
      <c r="H16" s="16" t="s">
        <v>60</v>
      </c>
      <c r="I16" s="48"/>
      <c r="J16" s="15"/>
    </row>
    <row r="17" spans="1:10" ht="15.75" customHeight="1" x14ac:dyDescent="0.35">
      <c r="A17" s="19" t="str">
        <f>CONCATENATE("cpevsdo:","cell/",ROWS(A$8:A17))</f>
        <v>cpevsdo:cell/10</v>
      </c>
      <c r="B17" s="16" t="s">
        <v>24</v>
      </c>
      <c r="C17" s="17" t="s">
        <v>36</v>
      </c>
      <c r="D17" s="20" t="s">
        <v>42</v>
      </c>
      <c r="E17" s="21" t="s">
        <v>25</v>
      </c>
      <c r="F17" s="13">
        <v>1</v>
      </c>
      <c r="G17" s="40" t="s">
        <v>41</v>
      </c>
      <c r="H17" s="16" t="s">
        <v>60</v>
      </c>
      <c r="I17" s="48"/>
      <c r="J17" s="15"/>
    </row>
    <row r="18" spans="1:10" ht="15.75" customHeight="1" x14ac:dyDescent="0.35">
      <c r="A18" s="19" t="str">
        <f>CONCATENATE("cpevsdo:","cell/",ROWS(A$8:A18))</f>
        <v>cpevsdo:cell/11</v>
      </c>
      <c r="B18" s="16" t="s">
        <v>24</v>
      </c>
      <c r="C18" s="17" t="s">
        <v>37</v>
      </c>
      <c r="D18" s="20" t="s">
        <v>51</v>
      </c>
      <c r="E18" s="21" t="s">
        <v>25</v>
      </c>
      <c r="F18" s="13">
        <v>1</v>
      </c>
      <c r="G18" s="40" t="s">
        <v>41</v>
      </c>
      <c r="H18" s="16" t="s">
        <v>60</v>
      </c>
      <c r="I18" s="48"/>
      <c r="J18" s="15"/>
    </row>
    <row r="19" spans="1:10" ht="15.75" customHeight="1" x14ac:dyDescent="0.35">
      <c r="A19" s="19" t="str">
        <f>CONCATENATE("cpevsdo:","cell/",ROWS(A$8:A19))</f>
        <v>cpevsdo:cell/12</v>
      </c>
      <c r="B19" s="16" t="s">
        <v>24</v>
      </c>
      <c r="C19" s="17" t="s">
        <v>38</v>
      </c>
      <c r="D19" s="20" t="s">
        <v>49</v>
      </c>
      <c r="E19" s="21" t="s">
        <v>39</v>
      </c>
      <c r="F19" s="13">
        <v>1</v>
      </c>
      <c r="G19" s="40" t="s">
        <v>40</v>
      </c>
      <c r="H19" s="16" t="s">
        <v>60</v>
      </c>
      <c r="I19" s="48"/>
      <c r="J19" s="15"/>
    </row>
    <row r="20" spans="1:10" ht="15.75" customHeight="1" x14ac:dyDescent="0.35">
      <c r="A20" s="33" t="str">
        <f>CONCATENATE("cpevsdo:","cell/",ROWS(A$8:A20))</f>
        <v>cpevsdo:cell/13</v>
      </c>
      <c r="B20" s="16" t="s">
        <v>24</v>
      </c>
      <c r="C20" s="17" t="s">
        <v>71</v>
      </c>
      <c r="D20" s="43"/>
      <c r="E20" s="41"/>
      <c r="F20" s="13"/>
      <c r="G20" s="42"/>
      <c r="H20" s="16"/>
      <c r="I20" s="48"/>
      <c r="J20" s="15"/>
    </row>
    <row r="21" spans="1:10" ht="15.75" customHeight="1" x14ac:dyDescent="0.35">
      <c r="A21" s="19" t="str">
        <f>CONCATENATE("cpevsdo:","cell/",ROWS(A$8:A21))</f>
        <v>cpevsdo:cell/14</v>
      </c>
      <c r="B21" s="16" t="s">
        <v>24</v>
      </c>
      <c r="C21" s="17" t="s">
        <v>65</v>
      </c>
      <c r="D21" s="20" t="s">
        <v>46</v>
      </c>
      <c r="E21" s="21" t="s">
        <v>39</v>
      </c>
      <c r="F21" s="13">
        <v>0.7</v>
      </c>
      <c r="G21" s="40" t="s">
        <v>40</v>
      </c>
      <c r="H21" s="16" t="s">
        <v>60</v>
      </c>
      <c r="I21" s="50" t="s">
        <v>107</v>
      </c>
      <c r="J21" s="43" t="s">
        <v>105</v>
      </c>
    </row>
    <row r="22" spans="1:10" ht="15.75" customHeight="1" x14ac:dyDescent="0.35">
      <c r="A22" s="19" t="str">
        <f>CONCATENATE("cpevsdo:","cell/",ROWS(A$8:A22))</f>
        <v>cpevsdo:cell/15</v>
      </c>
      <c r="B22" s="16" t="s">
        <v>24</v>
      </c>
      <c r="C22" t="s">
        <v>72</v>
      </c>
      <c r="D22" s="20" t="s">
        <v>52</v>
      </c>
      <c r="E22" s="21" t="s">
        <v>39</v>
      </c>
      <c r="F22" s="23">
        <v>1</v>
      </c>
      <c r="G22" s="39" t="s">
        <v>40</v>
      </c>
      <c r="H22" s="16" t="s">
        <v>60</v>
      </c>
      <c r="I22" s="48"/>
      <c r="J22" s="15"/>
    </row>
    <row r="23" spans="1:10" ht="15.75" customHeight="1" x14ac:dyDescent="0.35">
      <c r="A23" s="33" t="str">
        <f>CONCATENATE("cpevsdo:","cell/",ROWS(A$8:A23))</f>
        <v>cpevsdo:cell/16</v>
      </c>
      <c r="B23" s="16" t="s">
        <v>24</v>
      </c>
      <c r="C23" s="17" t="s">
        <v>73</v>
      </c>
      <c r="D23" s="15"/>
      <c r="E23" s="41"/>
      <c r="F23" s="15"/>
      <c r="G23" s="42"/>
      <c r="H23" s="16"/>
      <c r="I23" s="48"/>
      <c r="J23" s="15"/>
    </row>
    <row r="24" spans="1:10" ht="15.75" customHeight="1" x14ac:dyDescent="0.35">
      <c r="A24" s="19" t="str">
        <f>CONCATENATE("cpevsdo:","cell/",ROWS(A$8:A24))</f>
        <v>cpevsdo:cell/17</v>
      </c>
      <c r="B24" s="16" t="s">
        <v>24</v>
      </c>
      <c r="C24" t="s">
        <v>74</v>
      </c>
      <c r="D24" s="20" t="s">
        <v>117</v>
      </c>
      <c r="E24" s="21" t="s">
        <v>25</v>
      </c>
      <c r="F24" s="23">
        <v>1</v>
      </c>
      <c r="G24" s="11" t="s">
        <v>26</v>
      </c>
      <c r="H24" s="16" t="s">
        <v>60</v>
      </c>
      <c r="I24" s="50"/>
      <c r="J24" s="15"/>
    </row>
    <row r="25" spans="1:10" ht="15.75" customHeight="1" x14ac:dyDescent="0.35">
      <c r="A25" s="19" t="str">
        <f>CONCATENATE("cpevsdo:","cell/",ROWS(A$8:A25))</f>
        <v>cpevsdo:cell/18</v>
      </c>
      <c r="B25" s="16" t="s">
        <v>24</v>
      </c>
      <c r="C25" s="15" t="s">
        <v>75</v>
      </c>
      <c r="D25" s="15" t="s">
        <v>120</v>
      </c>
      <c r="E25" s="41" t="s">
        <v>25</v>
      </c>
      <c r="F25" s="13">
        <v>1</v>
      </c>
      <c r="G25" s="40" t="s">
        <v>41</v>
      </c>
      <c r="H25" s="16" t="s">
        <v>60</v>
      </c>
      <c r="I25" s="48"/>
      <c r="J25" s="15"/>
    </row>
    <row r="26" spans="1:10" ht="15.75" customHeight="1" x14ac:dyDescent="0.35">
      <c r="A26" s="33" t="str">
        <f>CONCATENATE("cpevsdo:","cell/",ROWS(A$8:A26))</f>
        <v>cpevsdo:cell/19</v>
      </c>
      <c r="B26" s="16" t="s">
        <v>24</v>
      </c>
      <c r="C26" s="15" t="s">
        <v>76</v>
      </c>
      <c r="D26" s="15"/>
      <c r="E26" s="41"/>
      <c r="F26" s="13"/>
      <c r="G26" s="40"/>
      <c r="H26" s="16"/>
      <c r="I26" s="48"/>
      <c r="J26" s="15"/>
    </row>
    <row r="27" spans="1:10" ht="15.75" customHeight="1" x14ac:dyDescent="0.35">
      <c r="A27" s="19" t="str">
        <f>CONCATENATE("cpevsdo:","cell/",ROWS(A$8:A27))</f>
        <v>cpevsdo:cell/20</v>
      </c>
      <c r="B27" s="16" t="s">
        <v>24</v>
      </c>
      <c r="C27" s="15" t="s">
        <v>77</v>
      </c>
      <c r="D27" s="43" t="s">
        <v>118</v>
      </c>
      <c r="E27" s="41" t="s">
        <v>25</v>
      </c>
      <c r="F27" s="13">
        <v>1</v>
      </c>
      <c r="G27" s="40" t="s">
        <v>41</v>
      </c>
      <c r="H27" s="16" t="s">
        <v>60</v>
      </c>
      <c r="I27" s="50"/>
      <c r="J27" s="15"/>
    </row>
    <row r="28" spans="1:10" ht="15.75" customHeight="1" x14ac:dyDescent="0.35">
      <c r="A28" s="19" t="str">
        <f>CONCATENATE("cpevsdo:","cell/",ROWS(A$8:A28))</f>
        <v>cpevsdo:cell/21</v>
      </c>
      <c r="B28" s="16" t="s">
        <v>24</v>
      </c>
      <c r="C28" s="17" t="s">
        <v>78</v>
      </c>
      <c r="D28" s="69" t="s">
        <v>119</v>
      </c>
      <c r="E28" s="41" t="s">
        <v>25</v>
      </c>
      <c r="F28" s="13">
        <v>1</v>
      </c>
      <c r="G28" s="40" t="s">
        <v>41</v>
      </c>
      <c r="H28" s="16" t="s">
        <v>60</v>
      </c>
      <c r="I28" s="48"/>
      <c r="J28" s="15"/>
    </row>
    <row r="29" spans="1:10" ht="15.75" customHeight="1" x14ac:dyDescent="0.35">
      <c r="A29" s="19" t="str">
        <f>CONCATENATE("cpevsdo:","cell/",ROWS(A$8:A29))</f>
        <v>cpevsdo:cell/22</v>
      </c>
      <c r="B29" s="16" t="s">
        <v>24</v>
      </c>
      <c r="C29" s="17" t="s">
        <v>79</v>
      </c>
      <c r="D29" s="20" t="s">
        <v>121</v>
      </c>
      <c r="E29" s="41" t="s">
        <v>25</v>
      </c>
      <c r="F29" s="13">
        <v>1</v>
      </c>
      <c r="G29" s="40" t="s">
        <v>41</v>
      </c>
      <c r="H29" s="16" t="s">
        <v>60</v>
      </c>
      <c r="I29" s="50"/>
      <c r="J29" s="15"/>
    </row>
    <row r="30" spans="1:10" ht="15.75" customHeight="1" x14ac:dyDescent="0.35">
      <c r="A30" s="33" t="str">
        <f>CONCATENATE("cpevsdo:","cell/",ROWS(A$8:A30))</f>
        <v>cpevsdo:cell/23</v>
      </c>
      <c r="B30" s="16" t="s">
        <v>24</v>
      </c>
      <c r="C30" t="s">
        <v>80</v>
      </c>
      <c r="D30" s="20"/>
      <c r="E30" s="55"/>
      <c r="F30" s="54"/>
      <c r="G30" s="58"/>
      <c r="H30" s="56"/>
      <c r="I30" s="57"/>
      <c r="J30" s="43"/>
    </row>
    <row r="31" spans="1:10" ht="15.75" customHeight="1" x14ac:dyDescent="0.35">
      <c r="A31" s="19" t="str">
        <f>CONCATENATE("cpevsdo:","cell/",ROWS(A$8:A31))</f>
        <v>cpevsdo:cell/24</v>
      </c>
      <c r="B31" s="16" t="s">
        <v>24</v>
      </c>
      <c r="C31" s="17" t="s">
        <v>81</v>
      </c>
      <c r="D31" s="20" t="s">
        <v>106</v>
      </c>
      <c r="E31" s="41" t="s">
        <v>39</v>
      </c>
      <c r="F31" s="13">
        <v>1</v>
      </c>
      <c r="G31" s="40" t="s">
        <v>40</v>
      </c>
      <c r="H31" s="16" t="s">
        <v>60</v>
      </c>
      <c r="I31" s="48"/>
      <c r="J31" s="15"/>
    </row>
    <row r="32" spans="1:10" ht="15.75" customHeight="1" x14ac:dyDescent="0.35">
      <c r="A32" s="33" t="str">
        <f>CONCATENATE("cpevsdo:","cell/",ROWS(A$8:A32))</f>
        <v>cpevsdo:cell/25</v>
      </c>
      <c r="B32" s="16" t="s">
        <v>24</v>
      </c>
      <c r="C32" s="17" t="s">
        <v>82</v>
      </c>
      <c r="D32" s="18"/>
      <c r="E32" s="21"/>
      <c r="F32" s="13"/>
      <c r="G32" s="11"/>
      <c r="H32" s="16"/>
      <c r="I32" s="48"/>
      <c r="J32" s="15"/>
    </row>
    <row r="33" spans="1:10" ht="15.75" customHeight="1" x14ac:dyDescent="0.35">
      <c r="A33" s="33" t="str">
        <f>CONCATENATE("cpevsdo:","cell/",ROWS(A$8:A33))</f>
        <v>cpevsdo:cell/26</v>
      </c>
      <c r="B33" s="16" t="s">
        <v>24</v>
      </c>
      <c r="C33" s="17" t="s">
        <v>83</v>
      </c>
      <c r="D33" s="20"/>
      <c r="E33" s="41"/>
      <c r="F33" s="15"/>
      <c r="G33" s="42"/>
      <c r="H33" s="16"/>
      <c r="I33" s="48"/>
      <c r="J33" s="15"/>
    </row>
    <row r="34" spans="1:10" ht="15.75" customHeight="1" x14ac:dyDescent="0.35">
      <c r="A34" s="19" t="str">
        <f>CONCATENATE("cpevsdo:","cell/",ROWS(A$8:A34))</f>
        <v>cpevsdo:cell/27</v>
      </c>
      <c r="B34" s="16" t="s">
        <v>24</v>
      </c>
      <c r="C34" s="17" t="s">
        <v>84</v>
      </c>
      <c r="D34" s="20" t="s">
        <v>46</v>
      </c>
      <c r="E34" s="21" t="s">
        <v>39</v>
      </c>
      <c r="F34" s="13">
        <v>0.7</v>
      </c>
      <c r="G34" s="40" t="s">
        <v>40</v>
      </c>
      <c r="H34" s="16" t="s">
        <v>60</v>
      </c>
      <c r="I34" s="50" t="s">
        <v>108</v>
      </c>
      <c r="J34" s="43" t="s">
        <v>105</v>
      </c>
    </row>
    <row r="35" spans="1:10" ht="15.75" customHeight="1" x14ac:dyDescent="0.35">
      <c r="A35" s="33" t="str">
        <f>CONCATENATE("cpevsdo:","cell/",ROWS(A$8:A35))</f>
        <v>cpevsdo:cell/28</v>
      </c>
      <c r="B35" s="61" t="s">
        <v>24</v>
      </c>
      <c r="C35" s="62" t="s">
        <v>85</v>
      </c>
      <c r="D35" s="63"/>
      <c r="E35" s="64"/>
      <c r="F35" s="65"/>
      <c r="G35" s="66"/>
      <c r="H35" s="61"/>
      <c r="I35" s="67"/>
      <c r="J35" s="15"/>
    </row>
    <row r="36" spans="1:10" ht="15.75" customHeight="1" x14ac:dyDescent="0.35">
      <c r="A36" s="19" t="str">
        <f>CONCATENATE("cpevsdo:","cell/",ROWS(A$8:A36))</f>
        <v>cpevsdo:cell/29</v>
      </c>
      <c r="B36" s="16" t="s">
        <v>24</v>
      </c>
      <c r="C36" s="15" t="s">
        <v>86</v>
      </c>
      <c r="D36" s="20" t="s">
        <v>125</v>
      </c>
      <c r="E36" s="21" t="s">
        <v>39</v>
      </c>
      <c r="F36" s="23">
        <v>1</v>
      </c>
      <c r="G36" s="43" t="s">
        <v>126</v>
      </c>
      <c r="H36" s="16" t="s">
        <v>60</v>
      </c>
      <c r="I36" s="43"/>
      <c r="J36" s="15"/>
    </row>
    <row r="37" spans="1:10" ht="15.75" customHeight="1" x14ac:dyDescent="0.35">
      <c r="A37" s="33" t="str">
        <f>CONCATENATE("cpevsdo:","cell/",ROWS(A$8:A37))</f>
        <v>cpevsdo:cell/30</v>
      </c>
      <c r="B37" s="16" t="s">
        <v>24</v>
      </c>
      <c r="C37" s="15" t="s">
        <v>87</v>
      </c>
      <c r="D37" s="15"/>
      <c r="E37" s="41"/>
      <c r="F37" s="15"/>
      <c r="G37" s="15"/>
      <c r="H37" s="15"/>
      <c r="I37" s="15"/>
      <c r="J37" s="15"/>
    </row>
    <row r="38" spans="1:10" ht="15.75" customHeight="1" x14ac:dyDescent="0.35">
      <c r="A38" s="33" t="str">
        <f>CONCATENATE("cpevsdo:","cell/",ROWS(A$8:A38))</f>
        <v>cpevsdo:cell/31</v>
      </c>
      <c r="B38" s="16" t="s">
        <v>24</v>
      </c>
      <c r="C38" s="15" t="s">
        <v>88</v>
      </c>
      <c r="D38" s="15"/>
      <c r="E38" s="41"/>
      <c r="F38" s="15"/>
      <c r="G38" s="15"/>
      <c r="H38" s="15"/>
      <c r="I38" s="15"/>
      <c r="J38" s="15"/>
    </row>
    <row r="39" spans="1:10" ht="15.75" customHeight="1" x14ac:dyDescent="0.35">
      <c r="A39" s="33" t="str">
        <f>CONCATENATE("cpevsdo:","cell/",ROWS(A$8:A39))</f>
        <v>cpevsdo:cell/32</v>
      </c>
      <c r="B39" s="16" t="s">
        <v>24</v>
      </c>
      <c r="C39" s="15" t="s">
        <v>89</v>
      </c>
      <c r="D39" s="15"/>
      <c r="E39" s="41"/>
      <c r="F39" s="15"/>
      <c r="G39" s="15"/>
      <c r="H39" s="15"/>
      <c r="I39" s="15"/>
      <c r="J39" s="15"/>
    </row>
    <row r="40" spans="1:10" ht="15.75" customHeight="1" x14ac:dyDescent="0.35">
      <c r="A40" s="68" t="str">
        <f>CONCATENATE("cpevsdo:","cell/",ROWS(A$8:A40))</f>
        <v>cpevsdo:cell/33</v>
      </c>
      <c r="B40" s="16" t="s">
        <v>24</v>
      </c>
      <c r="C40" s="15" t="s">
        <v>81</v>
      </c>
      <c r="D40" s="20" t="s">
        <v>106</v>
      </c>
      <c r="E40" s="41" t="s">
        <v>39</v>
      </c>
      <c r="F40" s="13">
        <v>1</v>
      </c>
      <c r="G40" s="40" t="s">
        <v>40</v>
      </c>
      <c r="H40" s="16" t="s">
        <v>60</v>
      </c>
      <c r="I40" s="50" t="s">
        <v>116</v>
      </c>
      <c r="J40" s="15"/>
    </row>
    <row r="41" spans="1:10" ht="15.75" customHeight="1" x14ac:dyDescent="0.35">
      <c r="A41" s="33" t="str">
        <f>CONCATENATE("cpevsdo:","cell/",ROWS(A$8:A41))</f>
        <v>cpevsdo:cell/34</v>
      </c>
      <c r="B41" s="16" t="s">
        <v>24</v>
      </c>
      <c r="C41" s="15" t="s">
        <v>90</v>
      </c>
      <c r="D41" s="15"/>
      <c r="E41" s="41"/>
      <c r="F41" s="15"/>
      <c r="G41" s="15"/>
      <c r="H41" s="15"/>
      <c r="I41" s="15"/>
      <c r="J41" s="15"/>
    </row>
    <row r="42" spans="1:10" ht="15.75" customHeight="1" x14ac:dyDescent="0.35">
      <c r="A42" s="33" t="str">
        <f>CONCATENATE("cpevsdo:","cell/",ROWS(A$8:A42))</f>
        <v>cpevsdo:cell/35</v>
      </c>
      <c r="B42" s="16" t="s">
        <v>24</v>
      </c>
      <c r="C42" s="15" t="s">
        <v>91</v>
      </c>
      <c r="D42" s="15"/>
      <c r="E42" s="41"/>
      <c r="F42" s="15"/>
      <c r="G42" s="15"/>
      <c r="H42" s="15"/>
      <c r="I42" s="15"/>
      <c r="J42" s="15"/>
    </row>
    <row r="43" spans="1:10" ht="15.75" customHeight="1" x14ac:dyDescent="0.35">
      <c r="A43" s="33" t="str">
        <f>CONCATENATE("cpevsdo:","cell/",ROWS(A$8:A43))</f>
        <v>cpevsdo:cell/36</v>
      </c>
      <c r="B43" s="16" t="s">
        <v>24</v>
      </c>
      <c r="C43" s="15" t="s">
        <v>92</v>
      </c>
      <c r="D43" s="15"/>
      <c r="E43" s="41"/>
      <c r="F43" s="15"/>
      <c r="G43" s="15"/>
      <c r="H43" s="15"/>
      <c r="I43" s="15"/>
      <c r="J43" s="15"/>
    </row>
    <row r="44" spans="1:10" ht="15.75" customHeight="1" x14ac:dyDescent="0.35">
      <c r="A44" s="33" t="str">
        <f>CONCATENATE("cpevsdo:","cell/",ROWS(A$8:A44))</f>
        <v>cpevsdo:cell/37</v>
      </c>
      <c r="B44" s="16" t="s">
        <v>24</v>
      </c>
      <c r="C44" s="15" t="s">
        <v>93</v>
      </c>
      <c r="D44" s="15"/>
      <c r="E44" s="41"/>
      <c r="F44" s="15"/>
      <c r="G44" s="15"/>
      <c r="H44" s="15"/>
      <c r="I44" s="15"/>
      <c r="J44" s="15"/>
    </row>
    <row r="45" spans="1:10" ht="15.75" customHeight="1" x14ac:dyDescent="0.35">
      <c r="A45" s="33" t="str">
        <f>CONCATENATE("cpevsdo:","cell/",ROWS(A$8:A45))</f>
        <v>cpevsdo:cell/38</v>
      </c>
      <c r="B45" s="16" t="s">
        <v>24</v>
      </c>
      <c r="C45" s="15" t="s">
        <v>94</v>
      </c>
      <c r="D45" s="15"/>
      <c r="E45" s="41"/>
      <c r="F45" s="15"/>
      <c r="G45" s="15"/>
      <c r="H45" s="15"/>
      <c r="I45" s="15"/>
      <c r="J45" s="15"/>
    </row>
    <row r="46" spans="1:10" ht="15.75" customHeight="1" x14ac:dyDescent="0.35">
      <c r="A46" s="33" t="str">
        <f>CONCATENATE("cpevsdo:","cell/",ROWS(A$8:A46))</f>
        <v>cpevsdo:cell/39</v>
      </c>
      <c r="B46" s="16" t="s">
        <v>24</v>
      </c>
      <c r="C46" s="15" t="s">
        <v>95</v>
      </c>
      <c r="D46" s="15"/>
      <c r="E46" s="41"/>
      <c r="F46" s="15"/>
      <c r="G46" s="15"/>
      <c r="H46" s="15"/>
      <c r="I46" s="15"/>
      <c r="J46" s="15"/>
    </row>
    <row r="47" spans="1:10" ht="15.75" customHeight="1" x14ac:dyDescent="0.35">
      <c r="A47" s="33" t="str">
        <f>CONCATENATE("cpevsdo:","cell/",ROWS(A$8:A47))</f>
        <v>cpevsdo:cell/40</v>
      </c>
      <c r="B47" s="16" t="s">
        <v>24</v>
      </c>
      <c r="C47" s="15" t="s">
        <v>83</v>
      </c>
      <c r="D47" s="15"/>
      <c r="E47" s="41"/>
      <c r="F47" s="15"/>
      <c r="G47" s="15"/>
      <c r="H47" s="15"/>
      <c r="I47" s="15"/>
      <c r="J47" s="15"/>
    </row>
    <row r="48" spans="1:10" ht="15.75" customHeight="1" x14ac:dyDescent="0.35">
      <c r="A48" s="33" t="str">
        <f>CONCATENATE("cpevsdo:","cell/",ROWS(A$8:A48))</f>
        <v>cpevsdo:cell/41</v>
      </c>
      <c r="B48" s="16" t="s">
        <v>24</v>
      </c>
      <c r="C48" s="15" t="s">
        <v>96</v>
      </c>
      <c r="D48" s="15"/>
      <c r="E48" s="41"/>
      <c r="F48" s="13"/>
      <c r="G48" s="40"/>
      <c r="H48" s="16"/>
      <c r="I48" s="15"/>
      <c r="J48" s="15"/>
    </row>
    <row r="49" spans="1:10" ht="15.75" customHeight="1" x14ac:dyDescent="0.35">
      <c r="A49" s="68" t="str">
        <f>CONCATENATE("cpevsdo:","cell/",ROWS(A$8:A49))</f>
        <v>cpevsdo:cell/42</v>
      </c>
      <c r="B49" s="16" t="s">
        <v>24</v>
      </c>
      <c r="C49" s="15" t="s">
        <v>65</v>
      </c>
      <c r="D49" s="20" t="s">
        <v>46</v>
      </c>
      <c r="E49" s="21" t="s">
        <v>39</v>
      </c>
      <c r="F49" s="13">
        <v>0.7</v>
      </c>
      <c r="G49" s="40" t="s">
        <v>40</v>
      </c>
      <c r="H49" s="16" t="s">
        <v>60</v>
      </c>
      <c r="I49" s="50" t="s">
        <v>123</v>
      </c>
      <c r="J49" s="43" t="s">
        <v>105</v>
      </c>
    </row>
    <row r="50" spans="1:10" ht="15.75" customHeight="1" x14ac:dyDescent="0.35">
      <c r="A50" s="68" t="str">
        <f>CONCATENATE("cpevsdo:","cell/",ROWS(A$8:A50))</f>
        <v>cpevsdo:cell/43</v>
      </c>
      <c r="B50" s="16" t="s">
        <v>24</v>
      </c>
      <c r="C50" s="15" t="s">
        <v>97</v>
      </c>
      <c r="D50" s="20" t="s">
        <v>104</v>
      </c>
      <c r="E50" s="21" t="s">
        <v>39</v>
      </c>
      <c r="F50" s="13">
        <v>0.7</v>
      </c>
      <c r="G50" s="40" t="s">
        <v>40</v>
      </c>
      <c r="H50" s="16" t="s">
        <v>60</v>
      </c>
      <c r="I50" s="50" t="s">
        <v>122</v>
      </c>
      <c r="J50" s="43" t="s">
        <v>105</v>
      </c>
    </row>
    <row r="51" spans="1:10" ht="15.75" customHeight="1" x14ac:dyDescent="0.35">
      <c r="A51" s="68" t="str">
        <f>CONCATENATE("cpevsdo:","cell/",ROWS(A$8:A51))</f>
        <v>cpevsdo:cell/44</v>
      </c>
      <c r="B51" s="16" t="s">
        <v>24</v>
      </c>
      <c r="C51" s="15" t="s">
        <v>98</v>
      </c>
      <c r="D51" s="20" t="s">
        <v>111</v>
      </c>
      <c r="E51" s="41" t="s">
        <v>39</v>
      </c>
      <c r="F51" s="13">
        <v>0.7</v>
      </c>
      <c r="G51" s="40" t="s">
        <v>40</v>
      </c>
      <c r="H51" s="16" t="s">
        <v>60</v>
      </c>
      <c r="I51" s="50" t="s">
        <v>112</v>
      </c>
      <c r="J51" s="15"/>
    </row>
    <row r="52" spans="1:10" ht="15.75" customHeight="1" x14ac:dyDescent="0.35">
      <c r="A52" s="68" t="str">
        <f>CONCATENATE("cpevsdo:","cell/",ROWS(A$8:A52))</f>
        <v>cpevsdo:cell/45</v>
      </c>
      <c r="B52" s="16" t="s">
        <v>24</v>
      </c>
      <c r="C52" s="15" t="s">
        <v>99</v>
      </c>
      <c r="D52" s="15" t="s">
        <v>115</v>
      </c>
      <c r="E52" s="41" t="s">
        <v>39</v>
      </c>
      <c r="F52" s="13">
        <v>1</v>
      </c>
      <c r="G52" s="40" t="s">
        <v>40</v>
      </c>
      <c r="H52" s="16" t="s">
        <v>60</v>
      </c>
      <c r="I52" s="15"/>
      <c r="J52" s="15"/>
    </row>
    <row r="53" spans="1:10" ht="15.75" customHeight="1" x14ac:dyDescent="0.35">
      <c r="A53" s="68" t="str">
        <f>CONCATENATE("cpevsdo:","cell/",ROWS(A$8:A53))</f>
        <v>cpevsdo:cell/46</v>
      </c>
      <c r="B53" s="16" t="s">
        <v>24</v>
      </c>
      <c r="C53" s="15" t="s">
        <v>100</v>
      </c>
      <c r="D53" s="20" t="s">
        <v>109</v>
      </c>
      <c r="E53" s="41" t="s">
        <v>39</v>
      </c>
      <c r="F53" s="13">
        <v>0.7</v>
      </c>
      <c r="G53" s="40" t="s">
        <v>40</v>
      </c>
      <c r="H53" s="16" t="s">
        <v>60</v>
      </c>
      <c r="I53" s="50" t="s">
        <v>110</v>
      </c>
      <c r="J53" s="43"/>
    </row>
    <row r="54" spans="1:10" ht="15.75" customHeight="1" x14ac:dyDescent="0.35">
      <c r="A54" s="68" t="str">
        <f>CONCATENATE("cpevsdo:","cell/",ROWS(A$8:A54))</f>
        <v>cpevsdo:cell/47</v>
      </c>
      <c r="B54" s="16" t="s">
        <v>24</v>
      </c>
      <c r="C54" s="15" t="s">
        <v>72</v>
      </c>
      <c r="D54" s="20" t="s">
        <v>52</v>
      </c>
      <c r="E54" s="21" t="s">
        <v>39</v>
      </c>
      <c r="F54" s="23">
        <v>1</v>
      </c>
      <c r="G54" s="39" t="s">
        <v>40</v>
      </c>
      <c r="H54" s="16" t="s">
        <v>60</v>
      </c>
      <c r="I54" s="15"/>
      <c r="J54" s="15"/>
    </row>
    <row r="55" spans="1:10" ht="15.75" customHeight="1" x14ac:dyDescent="0.35">
      <c r="A55" s="68" t="str">
        <f>CONCATENATE("cpevsdo:","cell/",ROWS(A$8:A55))</f>
        <v>cpevsdo:cell/48</v>
      </c>
      <c r="B55" s="16" t="s">
        <v>24</v>
      </c>
      <c r="C55" s="15" t="s">
        <v>101</v>
      </c>
      <c r="D55" s="15" t="s">
        <v>113</v>
      </c>
      <c r="E55" s="21" t="s">
        <v>25</v>
      </c>
      <c r="F55" s="13">
        <v>1</v>
      </c>
      <c r="G55" s="40" t="s">
        <v>41</v>
      </c>
      <c r="H55" s="16" t="s">
        <v>60</v>
      </c>
      <c r="I55" s="15"/>
      <c r="J55" s="15"/>
    </row>
    <row r="56" spans="1:10" ht="15.75" customHeight="1" x14ac:dyDescent="0.35">
      <c r="A56" s="33" t="str">
        <f>CONCATENATE("cpevsdo:","cell/",ROWS(A$8:A56))</f>
        <v>cpevsdo:cell/49</v>
      </c>
      <c r="B56" s="16" t="s">
        <v>24</v>
      </c>
      <c r="C56" s="15" t="s">
        <v>102</v>
      </c>
      <c r="D56" s="15"/>
      <c r="E56" s="41"/>
      <c r="F56" s="15"/>
      <c r="G56" s="15"/>
      <c r="H56" s="15"/>
      <c r="I56" s="15"/>
      <c r="J56" s="15"/>
    </row>
    <row r="57" spans="1:10" ht="15.75" customHeight="1" x14ac:dyDescent="0.35">
      <c r="A57" s="68" t="str">
        <f>CONCATENATE("cpevsdo:","cell/",ROWS(A$8:A57))</f>
        <v>cpevsdo:cell/50</v>
      </c>
      <c r="B57" s="16" t="s">
        <v>24</v>
      </c>
      <c r="C57" s="15" t="s">
        <v>81</v>
      </c>
      <c r="D57" s="20" t="s">
        <v>106</v>
      </c>
      <c r="E57" s="41" t="s">
        <v>39</v>
      </c>
      <c r="F57" s="13">
        <v>1</v>
      </c>
      <c r="G57" s="40" t="s">
        <v>40</v>
      </c>
      <c r="H57" s="16" t="s">
        <v>60</v>
      </c>
      <c r="I57" s="15" t="s">
        <v>114</v>
      </c>
      <c r="J57" s="15"/>
    </row>
    <row r="58" spans="1:10" ht="15.75" customHeight="1" x14ac:dyDescent="0.35">
      <c r="A58" s="68" t="str">
        <f>CONCATENATE("cpevsdo:","cell/",ROWS(A$8:A58))</f>
        <v>cpevsdo:cell/51</v>
      </c>
      <c r="B58" s="16" t="s">
        <v>24</v>
      </c>
      <c r="C58" s="15" t="s">
        <v>103</v>
      </c>
      <c r="D58" s="15" t="s">
        <v>124</v>
      </c>
      <c r="E58" s="41" t="s">
        <v>39</v>
      </c>
      <c r="F58" s="13">
        <v>0.7</v>
      </c>
      <c r="G58" s="40" t="s">
        <v>40</v>
      </c>
      <c r="H58" s="16" t="s">
        <v>60</v>
      </c>
      <c r="I58" s="15"/>
      <c r="J58" s="43" t="s">
        <v>105</v>
      </c>
    </row>
  </sheetData>
  <hyperlinks>
    <hyperlink ref="C2" r:id="rId1" xr:uid="{00000000-0004-0000-0100-000001000000}"/>
    <hyperlink ref="C3" r:id="rId2" xr:uid="{EA148A60-D61E-4C6B-846A-E9137506227D}"/>
    <hyperlink ref="B1" r:id="rId3" xr:uid="{7BFF306B-C2C3-4572-8862-249B438882A3}"/>
    <hyperlink ref="C4" r:id="rId4" xr:uid="{A492FB7B-A4B8-4B4E-B125-F388D39CD3D5}"/>
    <hyperlink ref="C5" r:id="rId5" xr:uid="{D9A894F7-DB85-4079-9539-6F33F4DBE2DB}"/>
    <hyperlink ref="D8" r:id="rId6" display="http://schema.org/PostalAddress" xr:uid="{923B7F65-68EA-4346-AB69-70272DBC4661}"/>
    <hyperlink ref="D10" r:id="rId7" display="http://schema.org/identifier" xr:uid="{ED5B1768-0743-414B-A4D9-70939B52CE06}"/>
    <hyperlink ref="D11" r:id="rId8" display="http://schema.org/addressCountry" xr:uid="{84BFE918-00C8-4484-A298-5E756B7DE009}"/>
    <hyperlink ref="D12" r:id="rId9" display="http://schema.org/addressRegion" xr:uid="{CD15CD27-5FD8-473B-8DB1-1D0A690A83D5}"/>
    <hyperlink ref="D14" r:id="rId10" display="http://schema.org/streetAddress" xr:uid="{BE53A55B-6504-46EE-91F7-924D3ED9BD94}"/>
    <hyperlink ref="D16" r:id="rId11" display="http://schema.org/postOfficeBoxNumber" xr:uid="{BEA6FE8D-0ECC-4E1F-AF3D-2FAD5913B684}"/>
    <hyperlink ref="D17" r:id="rId12" display="http://schema.org/postalCode" xr:uid="{8BCA2378-E683-4358-A099-9A9424B4C9DC}"/>
    <hyperlink ref="D18" r:id="rId13" display="http://schema.org/addressLocality" xr:uid="{C4B22333-F82D-4046-B4A2-C19CA16DC144}"/>
    <hyperlink ref="D19" r:id="rId14" display="http://schema.org/streetAddress" xr:uid="{E71CA9EE-7517-43C1-8100-C4B78F310B6F}"/>
    <hyperlink ref="D9" r:id="rId15" display="http://schema.org/addressLocality" xr:uid="{DB91BAD8-5A23-4FCF-BD52-FAED8D32C927}"/>
    <hyperlink ref="D13" r:id="rId16" xr:uid="{391E520A-48E9-483B-B8D3-F7E543E19FA9}"/>
    <hyperlink ref="D15" r:id="rId17" xr:uid="{C27EC330-F093-495B-A7BA-A29AFE36305C}"/>
    <hyperlink ref="D50" r:id="rId18" xr:uid="{887C85F6-F25D-44E9-97AA-EB0CAD784708}"/>
    <hyperlink ref="D31" r:id="rId19" xr:uid="{318CE3E4-6CD1-4B67-AB01-664B06C1AF9C}"/>
    <hyperlink ref="D53" r:id="rId20" xr:uid="{9AAAF19F-E56D-4733-BE09-74713D794413}"/>
    <hyperlink ref="D49" r:id="rId21" xr:uid="{59D5888D-77B0-44E8-A776-897262FD5876}"/>
    <hyperlink ref="D51" r:id="rId22" xr:uid="{5EA71642-9CAC-4AAC-B64D-BD86AC937DB6}"/>
    <hyperlink ref="D57" r:id="rId23" xr:uid="{87333C73-44E5-4198-A217-0F23704E0C33}"/>
    <hyperlink ref="D40" r:id="rId24" xr:uid="{434A0E87-BEC2-4304-B6F3-7FBDF03BFF4A}"/>
    <hyperlink ref="D22" r:id="rId25" xr:uid="{D4ED0C9C-6260-450F-9F2C-4895CADBBF89}"/>
    <hyperlink ref="D54" r:id="rId26" xr:uid="{79D3D3C5-80E8-4F07-9DE7-6F6A06C7D63A}"/>
    <hyperlink ref="D28" r:id="rId27" xr:uid="{5C466F88-5D33-4E93-AA80-AB57E05D4E00}"/>
  </hyperlinks>
  <pageMargins left="0.7" right="0.7" top="0.75" bottom="0.75" header="0.3" footer="0.3"/>
  <pageSetup paperSize="9" orientation="portrait" verticalDpi="0" r:id="rId28"/>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 (BE)</cp:lastModifiedBy>
  <dcterms:created xsi:type="dcterms:W3CDTF">2023-01-25T20:20:49Z</dcterms:created>
  <dcterms:modified xsi:type="dcterms:W3CDTF">2024-03-12T16:12:28Z</dcterms:modified>
</cp:coreProperties>
</file>