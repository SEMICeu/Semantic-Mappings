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Business\Schema.org\"/>
    </mc:Choice>
  </mc:AlternateContent>
  <xr:revisionPtr revIDLastSave="0" documentId="13_ncr:1_{88D688BD-D8AD-4FAF-B8D5-2087614C7479}" xr6:coauthVersionLast="47" xr6:coauthVersionMax="47" xr10:uidLastSave="{00000000-0000-0000-0000-000000000000}"/>
  <bookViews>
    <workbookView xWindow="-110" yWindow="-110" windowWidth="19420" windowHeight="1150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5" i="2" l="1"/>
  <c r="A46" i="2"/>
  <c r="A47" i="2"/>
  <c r="A48" i="2"/>
  <c r="A49" i="2"/>
  <c r="A37" i="2"/>
  <c r="A40" i="2"/>
  <c r="A44" i="2"/>
  <c r="A41" i="2"/>
  <c r="A42" i="2"/>
  <c r="A43" i="2"/>
  <c r="A39" i="2"/>
  <c r="A3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<sst xmlns="http://schemas.openxmlformats.org/spreadsheetml/2006/main" count="285" uniqueCount="121">
  <si>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</si>
  <si>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</si>
  <si>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</si>
  <si>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</si>
  <si>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</si>
  <si>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</si>
  <si>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</si>
  <si>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</si>
  <si>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</si>
  <si>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</si>
  <si>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</si>
  <si>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</si>
  <si>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</si>
  <si>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</si>
  <si>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</si>
  <si>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</si>
  <si>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</si>
  <si>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</si>
  <si>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</si>
  <si>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</si>
  <si>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</si>
  <si>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</si>
  <si>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</si>
  <si>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</si>
  <si>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</si>
  <si>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</si>
  <si>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</si>
  <si>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</si>
  <si>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</si>
  <si>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</si>
  <si>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</si>
  <si>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</si>
  <si>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</si>
  <si>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</si>
  <si>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</si>
  <si>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</si>
  <si>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</si>
  <si>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</si>
  <si>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</si>
  <si>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</si>
  <si>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</si>
  <si>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</si>
  <si>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</si>
  <si>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</si>
  <si>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</si>
  <si>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</si>
  <si>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</si>
  <si>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</si>
  <si>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</si>
  <si>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</si>
  <si>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</si>
  <si>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</si>
  <si>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http://schema.org/name</t>
  </si>
  <si>
    <t>https://schema.org/location</t>
  </si>
  <si>
    <t>https://schema.org/address</t>
  </si>
  <si>
    <t>rdfs:comment</t>
  </si>
  <si>
    <t>15</t>
  </si>
  <si>
    <t>http://data.europa.eu/m8g/</t>
  </si>
  <si>
    <t>sssom:mapping_justification</t>
  </si>
  <si>
    <t>semapv</t>
  </si>
  <si>
    <t>https://w3id.org/semapv/vocab/</t>
  </si>
  <si>
    <t>semapv:MappingReview</t>
  </si>
  <si>
    <t>owl:annotatedProperty</t>
  </si>
  <si>
    <t>http://mapping.semic.eu/business/sdo</t>
  </si>
  <si>
    <t>http://mapping.semic.eu/business/sdo/</t>
  </si>
  <si>
    <t>Alignment of Core Business with Schema.org</t>
  </si>
  <si>
    <t>It describes an alignment between Core Business and Schema.org.
The spreadsheet can be converted in RDF format using SKOS Play!. The RDF format are based on the Aligment Format and on SSSOM.</t>
  </si>
  <si>
    <t>2.0.0</t>
  </si>
  <si>
    <t>bussdo</t>
  </si>
  <si>
    <t>http://www.w3.org/ns/legal#LegalEntity</t>
  </si>
  <si>
    <t>http://www.w3.org/ns/org#FormalOrganization</t>
  </si>
  <si>
    <t>http://www.w3.org/ns/adms#Identifier</t>
  </si>
  <si>
    <t>http://purl.org/dc/terms/issued</t>
  </si>
  <si>
    <t>http://data.europa.eu/m8g/identifies</t>
  </si>
  <si>
    <t>http://www.w3.org/ns/adms#schemeAgency</t>
  </si>
  <si>
    <t>http://www.w3.org/2004/02/skos/core#notation</t>
  </si>
  <si>
    <t>http://www.w3.org/2000/01/rdf-schema#label</t>
  </si>
  <si>
    <t>http://purl.org/dc/terms/conformsTo</t>
  </si>
  <si>
    <t>http://purl.org/dc/terms/alternative</t>
  </si>
  <si>
    <t>http://purl.org/dc/terms/identifier</t>
  </si>
  <si>
    <t>http://www.w3.org/ns/legal#companyActivity</t>
  </si>
  <si>
    <t>http://www.w3.org/ns/legal#companyStatus</t>
  </si>
  <si>
    <t>http://www.w3.org/ns/legal#companyType</t>
  </si>
  <si>
    <t>http://www.w3.org/ns/legal#legalIdentifier</t>
  </si>
  <si>
    <t>http://www.w3.org/ns/legal#legalName</t>
  </si>
  <si>
    <t>http://www.w3.org/ns/legal#registeredAddress</t>
  </si>
  <si>
    <t>https://schema.org/legalName</t>
  </si>
  <si>
    <t>https://schema.org/alternateName</t>
  </si>
  <si>
    <t>https://schema.org/Organization</t>
  </si>
  <si>
    <t>rdfs:subClassOf</t>
  </si>
  <si>
    <t>The target entity can have multiple values</t>
  </si>
  <si>
    <t>If schema:location is expressed as Text, locatorName could be equivalent.</t>
  </si>
  <si>
    <t>In Core Business it denotes an identifier for a legal entity.</t>
  </si>
  <si>
    <t>schema:isicV4 is considered a narrower as it is a particular code list values, thus not mapped.</t>
  </si>
  <si>
    <t>In Core Business addressArea is for a part of city while schema:addressLocality could indicate a city.</t>
  </si>
  <si>
    <t>In Core Business it denotes a legal identifier for a legal entity. Schema:leiCode is considered narrower as it denotes a particular code list (ISO 17442)</t>
  </si>
  <si>
    <t>http://data.europa.eu/m8g/AccountingDocument</t>
  </si>
  <si>
    <t>http://data.europa.eu/m8g/registrationDate</t>
  </si>
  <si>
    <t>https://schema.org/foundingDate</t>
  </si>
  <si>
    <t>Depending on usage foundingDate may diverge from date of initial registration</t>
  </si>
  <si>
    <t>http://data.europa.eu/m8g/ContactPoint</t>
  </si>
  <si>
    <t>https://schema.org/ContactPoint</t>
  </si>
  <si>
    <t>http://data.europa.eu/m8g/contactPage</t>
  </si>
  <si>
    <t>https://schema.org/mainEntityOfPage</t>
  </si>
  <si>
    <t>http://data.europa.eu/m8g/email</t>
  </si>
  <si>
    <t>https://schema.org/email</t>
  </si>
  <si>
    <t>http://data.europa.eu/m8g/telephone</t>
  </si>
  <si>
    <t>https://schema.org/telephone</t>
  </si>
  <si>
    <t>http://data.europa.eu/m8g/contactPoint</t>
  </si>
  <si>
    <t>https://schema.org/contactPoint</t>
  </si>
  <si>
    <t>http://data.europa.eu/m8g/hasAccountingDocument</t>
  </si>
  <si>
    <t>http://www.w3.org/ns/org#memberOf</t>
  </si>
  <si>
    <t>http://www.w3.org/ns/org#hasMember</t>
  </si>
  <si>
    <t>http://www.w3.org/ns/org#headOf</t>
  </si>
  <si>
    <t>http://www.w3.org/ns/org#hasSubOrganization</t>
  </si>
  <si>
    <t>http://www.w3.org/ns/org#subOrganizationOf</t>
  </si>
  <si>
    <t>https://schema.org/member</t>
  </si>
  <si>
    <t>https://schema.org/memberOf</t>
  </si>
  <si>
    <t>https://schema.org/parentOrganization</t>
  </si>
  <si>
    <t>https://schema.org/subOrganization</t>
  </si>
  <si>
    <t>https://schema.org/leiCode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</si>
</sst>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22">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101">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10"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2" fillId="0" borderId="12"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3" xfId="0" applyFont="1" applyBorder="1"/>
    <xf numFmtId="0" fontId="13" fillId="0" borderId="11" xfId="0" applyFont="1" applyBorder="1"/>
    <xf numFmtId="0" fontId="0" fillId="0" borderId="8" xfId="0" applyBorder="1" applyAlignment="1">
      <alignment horizontal="center"/>
    </xf>
    <xf numFmtId="0" fontId="0" fillId="0" borderId="11"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4" xfId="0" applyBorder="1"/>
    <xf numFmtId="0" fontId="1" fillId="2" borderId="14" xfId="0" applyFont="1" applyFill="1" applyBorder="1"/>
    <xf numFmtId="0" fontId="13" fillId="0" borderId="14"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9" fillId="0" borderId="15" xfId="0" applyFont="1" applyBorder="1"/>
    <xf numFmtId="0" fontId="14" fillId="0" borderId="14" xfId="0" applyFont="1" applyBorder="1"/>
    <xf numFmtId="0" fontId="2" fillId="0" borderId="14" xfId="0" applyFont="1" applyBorder="1" applyAlignment="1">
      <alignment horizontal="center"/>
    </xf>
    <xf numFmtId="0" fontId="1" fillId="0" borderId="16" xfId="0" applyFont="1" applyBorder="1"/>
    <xf numFmtId="0" fontId="2" fillId="0" borderId="0" xfId="0" applyFont="1" applyBorder="1"/>
    <xf numFmtId="0" fontId="10" fillId="0" borderId="17" xfId="1" applyBorder="1" applyAlignment="1"/>
    <xf numFmtId="0" fontId="2" fillId="0" borderId="18" xfId="0" applyFont="1" applyBorder="1"/>
    <xf numFmtId="0" fontId="0" fillId="0" borderId="18" xfId="0" quotePrefix="1" applyBorder="1"/>
    <xf numFmtId="0" fontId="10" fillId="0" borderId="18" xfId="1" applyBorder="1" applyAlignment="1"/>
    <xf numFmtId="0" fontId="12" fillId="2" borderId="8" xfId="0" applyFont="1" applyFill="1" applyBorder="1"/>
    <xf numFmtId="0" fontId="15" fillId="0" borderId="10" xfId="0" applyFont="1" applyBorder="1"/>
    <xf numFmtId="0" fontId="15" fillId="0" borderId="15" xfId="0" applyFont="1" applyBorder="1"/>
    <xf numFmtId="0" fontId="2" fillId="0" borderId="17" xfId="0" applyFont="1" applyBorder="1"/>
    <xf numFmtId="0" fontId="0" fillId="0" borderId="17" xfId="0" applyBorder="1"/>
    <xf numFmtId="0" fontId="13" fillId="0" borderId="17" xfId="0" applyFont="1" applyBorder="1" applyAlignment="1">
      <alignment horizontal="center"/>
    </xf>
    <xf numFmtId="165" fontId="2" fillId="0" borderId="9" xfId="0" applyNumberFormat="1" applyFont="1" applyBorder="1" applyAlignment="1">
      <alignment horizontal="right"/>
    </xf>
    <xf numFmtId="0" fontId="13" fillId="0" borderId="19" xfId="0" applyFont="1" applyBorder="1"/>
    <xf numFmtId="0" fontId="13" fillId="0" borderId="20" xfId="0" applyFont="1" applyBorder="1"/>
    <xf numFmtId="0" fontId="15" fillId="0" borderId="8" xfId="0" applyFont="1" applyBorder="1"/>
    <xf numFmtId="0" fontId="9" fillId="0" borderId="8" xfId="0" applyFont="1" applyBorder="1"/>
    <xf numFmtId="0" fontId="2" fillId="0" borderId="7" xfId="2" applyFont="1" applyBorder="1"/>
    <xf numFmtId="165" fontId="2" fillId="0" borderId="3" xfId="2" applyNumberFormat="1" applyFont="1" applyBorder="1" applyAlignment="1">
      <alignment horizontal="right"/>
    </xf>
    <xf numFmtId="0" fontId="13" fillId="0" borderId="8" xfId="2" applyBorder="1"/>
    <xf numFmtId="0" fontId="13" fillId="0" borderId="8" xfId="2" quotePrefix="1" applyBorder="1"/>
    <xf numFmtId="0" fontId="10" fillId="0" borderId="8" xfId="1" applyBorder="1" applyAlignment="1"/>
    <xf numFmtId="0" fontId="13" fillId="0" borderId="8" xfId="2" applyFont="1" applyBorder="1" applyAlignment="1">
      <alignment horizontal="center"/>
    </xf>
    <xf numFmtId="165" fontId="2" fillId="0" borderId="8" xfId="2" applyNumberFormat="1" applyFont="1" applyBorder="1" applyAlignment="1">
      <alignment horizontal="right"/>
    </xf>
    <xf numFmtId="0" fontId="13" fillId="0" borderId="11" xfId="2" applyFont="1" applyBorder="1"/>
    <xf numFmtId="0" fontId="13" fillId="0" borderId="8" xfId="2" applyBorder="1" applyAlignment="1">
      <alignment horizontal="center"/>
    </xf>
    <xf numFmtId="0" fontId="13" fillId="0" borderId="8" xfId="2" applyFont="1" applyBorder="1"/>
    <xf numFmtId="0" fontId="10" fillId="0" borderId="8" xfId="1" applyBorder="1"/>
    <xf numFmtId="165" fontId="2" fillId="0" borderId="3" xfId="2" applyNumberFormat="1" applyFont="1" applyBorder="1" applyAlignment="1">
      <alignment horizontal="right"/>
    </xf>
    <xf numFmtId="0" fontId="13" fillId="0" borderId="8" xfId="2" quotePrefix="1" applyBorder="1"/>
    <xf numFmtId="0" fontId="13" fillId="0" borderId="8" xfId="2" applyFont="1" applyBorder="1" applyAlignment="1">
      <alignment horizontal="center"/>
    </xf>
    <xf numFmtId="165" fontId="2" fillId="0" borderId="8" xfId="2" applyNumberFormat="1" applyFont="1" applyBorder="1" applyAlignment="1">
      <alignment horizontal="right"/>
    </xf>
    <xf numFmtId="0" fontId="13" fillId="0" borderId="11" xfId="2" applyFont="1" applyBorder="1"/>
    <xf numFmtId="0" fontId="13" fillId="0" borderId="8" xfId="2" applyBorder="1" applyAlignment="1">
      <alignment horizontal="center"/>
    </xf>
    <xf numFmtId="0" fontId="13" fillId="0" borderId="8" xfId="2" applyFont="1" applyBorder="1"/>
    <xf numFmtId="0" fontId="10" fillId="0" borderId="17" xfId="1" applyBorder="1" applyAlignment="1"/>
    <xf numFmtId="0" fontId="13" fillId="0" borderId="17" xfId="2" applyFont="1" applyBorder="1"/>
    <xf numFmtId="0" fontId="13" fillId="0" borderId="21" xfId="2" applyFont="1" applyBorder="1"/>
    <xf numFmtId="0" fontId="13" fillId="0" borderId="0" xfId="2" applyFont="1" applyBorder="1"/>
    <xf numFmtId="0" fontId="9" fillId="0" borderId="17" xfId="0" applyFont="1" applyBorder="1"/>
    <xf numFmtId="0" fontId="13" fillId="0" borderId="17" xfId="2" applyBorder="1" applyAlignment="1">
      <alignment horizontal="center"/>
    </xf>
    <xf numFmtId="165" fontId="2" fillId="0" borderId="9" xfId="2" applyNumberFormat="1" applyFont="1" applyBorder="1" applyAlignment="1">
      <alignment horizontal="right"/>
    </xf>
    <xf numFmtId="0" fontId="13" fillId="0" borderId="19" xfId="2" applyFont="1" applyBorder="1"/>
    <xf numFmtId="0" fontId="13" fillId="0" borderId="17" xfId="0" applyFont="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00FDA923-1756-4671-9968-5AF275D5C7C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business/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business/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business/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telephone" TargetMode="External"/><Relationship Id="rId3" Type="http://schemas.openxmlformats.org/officeDocument/2006/relationships/hyperlink" Target="http://mapping.semic.eu/business/sdo" TargetMode="External"/><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schema.org/location" TargetMode="External"/><Relationship Id="rId2" Type="http://schemas.openxmlformats.org/officeDocument/2006/relationships/hyperlink" Target="http://mapping.semic.eu/business/sdo/" TargetMode="External"/><Relationship Id="rId16" Type="http://schemas.openxmlformats.org/officeDocument/2006/relationships/hyperlink" Target="https://w3id.org/semapv/vocab/" TargetMode="External"/><Relationship Id="rId20" Type="http://schemas.openxmlformats.org/officeDocument/2006/relationships/printerSettings" Target="../printerSettings/printerSettings2.bin"/><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5" Type="http://schemas.openxmlformats.org/officeDocument/2006/relationships/hyperlink" Target="http://schema.org/identifier" TargetMode="External"/><Relationship Id="rId15" Type="http://schemas.openxmlformats.org/officeDocument/2006/relationships/hyperlink" Target="https://w3id.org/sssom/" TargetMode="External"/><Relationship Id="rId10" Type="http://schemas.openxmlformats.org/officeDocument/2006/relationships/hyperlink" Target="http://schema.org/postalCode" TargetMode="External"/><Relationship Id="rId19" Type="http://schemas.openxmlformats.org/officeDocument/2006/relationships/hyperlink" Target="http://www.w3.org/ns/org"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chema.org/na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workbookViewId="0">
      <selection activeCell="F13" sqref="F13:G13"/>
    </sheetView>
  </sheetViews>
  <sheetFormatPr defaultColWidth="12.54296875" defaultRowHeight="15.75" customHeight="1" x14ac:dyDescent="0.25"/>
  <cols>
    <col min="1" max="1" width="20.54296875" customWidth="1"/>
    <col min="2" max="2" width="38.81640625" customWidth="1"/>
    <col min="3" max="3" width="35.453125" customWidth="1"/>
    <col min="4" max="4" width="16.54296875" bestFit="1" customWidth="1"/>
    <col min="5" max="5" width="85.81640625" customWidth="1"/>
    <col min="6" max="6" width="28" bestFit="1" customWidth="1"/>
    <col min="7" max="7" width="27" bestFit="1" customWidth="1"/>
  </cols>
  <sheetData>
    <row r="1" spans="1:7" ht="13" x14ac:dyDescent="0.3">
      <c r="A1" s="1" t="s">
        <v>0</v>
      </c>
      <c r="B1" s="24" t="s">
        <v>63</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68</v>
      </c>
      <c r="C4" s="24" t="s">
        <v>64</v>
      </c>
      <c r="D4" s="2"/>
      <c r="E4" s="2"/>
      <c r="F4" s="2"/>
      <c r="G4" s="5"/>
    </row>
    <row r="5" spans="1:7" ht="13" x14ac:dyDescent="0.3">
      <c r="A5" s="1" t="s">
        <v>6</v>
      </c>
      <c r="B5" s="12" t="s">
        <v>19</v>
      </c>
      <c r="C5" s="2"/>
      <c r="D5" s="2"/>
      <c r="E5" s="2"/>
      <c r="F5" s="2"/>
      <c r="G5" s="5"/>
    </row>
    <row r="6" spans="1:7" ht="13" x14ac:dyDescent="0.3">
      <c r="A6" s="1" t="s">
        <v>7</v>
      </c>
      <c r="B6" s="7">
        <v>44951</v>
      </c>
      <c r="C6" s="2"/>
      <c r="D6" s="2"/>
      <c r="E6" s="2"/>
      <c r="F6" s="2"/>
      <c r="G6" s="5"/>
    </row>
    <row r="7" spans="1:7" ht="13" x14ac:dyDescent="0.3">
      <c r="A7" s="1" t="s">
        <v>43</v>
      </c>
      <c r="B7" s="99" t="s">
        <v>8</v>
      </c>
      <c r="C7" s="100"/>
      <c r="D7" s="2"/>
      <c r="E7" s="2"/>
      <c r="F7" s="2"/>
      <c r="G7" s="5"/>
    </row>
    <row r="8" spans="1:7" ht="13" x14ac:dyDescent="0.3">
      <c r="A8" s="1" t="s">
        <v>9</v>
      </c>
      <c r="B8" s="8" t="s">
        <v>10</v>
      </c>
      <c r="C8" s="2"/>
      <c r="D8" s="2"/>
      <c r="E8" s="2"/>
      <c r="F8" s="2"/>
      <c r="G8" s="5"/>
    </row>
    <row r="9" spans="1:7" ht="13" x14ac:dyDescent="0.3">
      <c r="A9" s="1" t="s">
        <v>11</v>
      </c>
      <c r="B9" s="2" t="s">
        <v>65</v>
      </c>
      <c r="C9" s="2"/>
      <c r="D9" s="2"/>
      <c r="E9" s="2"/>
      <c r="F9" s="2"/>
      <c r="G9" s="5"/>
    </row>
    <row r="10" spans="1:7" ht="76.400000000000006" customHeight="1" x14ac:dyDescent="0.3">
      <c r="A10" s="1" t="s">
        <v>12</v>
      </c>
      <c r="B10" s="50" t="s">
        <v>66</v>
      </c>
      <c r="C10" s="2"/>
      <c r="D10" s="2"/>
      <c r="E10" s="2"/>
      <c r="F10" s="2"/>
      <c r="G10" s="5"/>
    </row>
    <row r="11" spans="1:7" ht="15.75" customHeight="1" x14ac:dyDescent="0.25">
      <c r="A11" s="2"/>
      <c r="B11" s="2"/>
      <c r="C11" s="2"/>
      <c r="D11" s="2"/>
      <c r="E11" s="2"/>
      <c r="F11" s="2"/>
      <c r="G11" s="5"/>
    </row>
    <row r="12" spans="1:7" ht="15.75" customHeight="1" x14ac:dyDescent="0.25">
      <c r="A12" s="25"/>
      <c r="B12" s="25"/>
      <c r="C12" s="25"/>
      <c r="D12" s="25"/>
      <c r="E12" s="25"/>
      <c r="F12" s="25"/>
      <c r="G12" s="14"/>
    </row>
    <row r="13" spans="1:7" ht="15.75" customHeight="1" x14ac:dyDescent="0.3">
      <c r="A13" s="27" t="s">
        <v>13</v>
      </c>
      <c r="B13" s="27" t="s">
        <v>6</v>
      </c>
      <c r="C13" s="27" t="s">
        <v>14</v>
      </c>
      <c r="D13" s="27" t="s">
        <v>15</v>
      </c>
      <c r="E13" s="27" t="s">
        <v>16</v>
      </c>
      <c r="F13" s="27" t="s">
        <v>17</v>
      </c>
      <c r="G13" s="27" t="s">
        <v>18</v>
      </c>
    </row>
    <row r="14" spans="1:7" ht="30.65" customHeight="1" x14ac:dyDescent="0.25">
      <c r="A14" s="24" t="s">
        <v>63</v>
      </c>
      <c r="B14" s="12" t="s">
        <v>19</v>
      </c>
      <c r="C14" s="26" t="s">
        <v>57</v>
      </c>
      <c r="D14" s="26" t="s">
        <v>44</v>
      </c>
      <c r="E14" s="35" t="str" cm="1">
        <f t="array" aca="1" ref="E14" ca="1">ConcatNoStrike(mapping!A8:A36,",")</f>
        <v>bussdo:cell/1,bussdo:cell/2,bussdo:cell/3,bussdo:cell/4,bussdo:cell/5,bussdo:cell/6,bussdo:cell/7,bussdo:cell/8,bussdo:cell/9,bussdo:cell/10,bussdo:cell/11,bussdo:cell/12,bussdo:cell/13,bussdo:cell/21,bussdo:cell/22,bussdo:cell/23,bussdo:cell/27,bussdo:cell/28,bussdo:cell/29,</v>
      </c>
      <c r="F14" s="44" t="s">
        <v>67</v>
      </c>
      <c r="G14" s="45" t="s">
        <v>56</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ignoredErrors>
    <ignoredError sqref="G14"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50"/>
  <sheetViews>
    <sheetView tabSelected="1" topLeftCell="A31" workbookViewId="0">
      <selection activeCell="D35" sqref="D35"/>
    </sheetView>
  </sheetViews>
  <sheetFormatPr defaultColWidth="12.54296875" defaultRowHeight="15.75" customHeight="1" x14ac:dyDescent="0.25"/>
  <cols>
    <col min="1" max="1" width="14" bestFit="1" customWidth="1"/>
    <col min="2" max="2" width="10.453125" customWidth="1"/>
    <col min="3" max="3" width="52.81640625" bestFit="1" customWidth="1"/>
    <col min="4" max="4" width="34.453125" bestFit="1" customWidth="1"/>
    <col min="5" max="5" width="12.54296875" style="22"/>
    <col min="6" max="6" width="23.1796875" bestFit="1" customWidth="1"/>
    <col min="7" max="7" width="21.1796875" bestFit="1" customWidth="1"/>
    <col min="8" max="8" width="25.81640625" bestFit="1" customWidth="1"/>
    <col min="9" max="9" width="67.81640625" customWidth="1"/>
    <col min="10" max="10" width="34.1796875" bestFit="1" customWidth="1"/>
  </cols>
  <sheetData>
    <row r="1" spans="1:10" ht="13" x14ac:dyDescent="0.3">
      <c r="A1" s="1" t="s">
        <v>0</v>
      </c>
      <c r="B1" s="24" t="s">
        <v>63</v>
      </c>
      <c r="C1" s="16"/>
      <c r="D1" s="9"/>
      <c r="E1" s="30"/>
      <c r="F1" s="3"/>
      <c r="G1" s="9"/>
      <c r="H1" s="16"/>
      <c r="I1" s="46"/>
      <c r="J1" s="15"/>
    </row>
    <row r="2" spans="1:10" ht="13" x14ac:dyDescent="0.3">
      <c r="A2" s="10" t="s">
        <v>1</v>
      </c>
      <c r="B2" s="11" t="s">
        <v>2</v>
      </c>
      <c r="C2" s="32" t="s">
        <v>3</v>
      </c>
      <c r="D2" s="11"/>
      <c r="E2" s="30"/>
      <c r="F2" s="5"/>
      <c r="G2" s="11"/>
      <c r="H2" s="16"/>
      <c r="I2" s="46"/>
      <c r="J2" s="15"/>
    </row>
    <row r="3" spans="1:10" ht="13" x14ac:dyDescent="0.3">
      <c r="A3" s="1" t="s">
        <v>1</v>
      </c>
      <c r="B3" s="31" t="s">
        <v>68</v>
      </c>
      <c r="C3" s="24" t="s">
        <v>64</v>
      </c>
      <c r="D3" s="11"/>
      <c r="E3" s="30"/>
      <c r="F3" s="5"/>
      <c r="G3" s="11"/>
      <c r="H3" s="16"/>
      <c r="I3" s="46"/>
      <c r="J3" s="15"/>
    </row>
    <row r="4" spans="1:10" ht="13" x14ac:dyDescent="0.3">
      <c r="A4" s="10" t="s">
        <v>1</v>
      </c>
      <c r="B4" s="11" t="s">
        <v>4</v>
      </c>
      <c r="C4" s="49" t="s">
        <v>5</v>
      </c>
      <c r="D4" s="11"/>
      <c r="E4" s="30"/>
      <c r="F4" s="5"/>
      <c r="G4" s="11"/>
      <c r="H4" s="16"/>
      <c r="I4" s="46"/>
      <c r="J4" s="15"/>
    </row>
    <row r="5" spans="1:10" ht="15.75" customHeight="1" x14ac:dyDescent="0.3">
      <c r="A5" s="55" t="s">
        <v>1</v>
      </c>
      <c r="B5" s="56" t="s">
        <v>59</v>
      </c>
      <c r="C5" s="57" t="s">
        <v>60</v>
      </c>
      <c r="D5" s="56"/>
      <c r="E5" s="30"/>
      <c r="F5" s="5"/>
      <c r="G5" s="11"/>
      <c r="H5" s="16"/>
      <c r="I5" s="46"/>
      <c r="J5" s="15"/>
    </row>
    <row r="6" spans="1:10" ht="15.75" customHeight="1" x14ac:dyDescent="0.25">
      <c r="A6" s="16"/>
      <c r="B6" s="16"/>
      <c r="C6" s="16"/>
      <c r="D6" s="16"/>
      <c r="E6" s="54"/>
      <c r="F6" s="5"/>
      <c r="G6" s="11"/>
      <c r="H6" s="16"/>
      <c r="I6" s="46"/>
      <c r="J6" s="15"/>
    </row>
    <row r="7" spans="1:10" ht="15.75" customHeight="1" x14ac:dyDescent="0.3">
      <c r="A7" s="61" t="s">
        <v>13</v>
      </c>
      <c r="B7" s="61" t="s">
        <v>6</v>
      </c>
      <c r="C7" s="61" t="s">
        <v>20</v>
      </c>
      <c r="D7" s="61" t="s">
        <v>21</v>
      </c>
      <c r="E7" s="28" t="s">
        <v>22</v>
      </c>
      <c r="F7" s="29" t="s">
        <v>23</v>
      </c>
      <c r="G7" s="51" t="s">
        <v>62</v>
      </c>
      <c r="H7" s="43" t="s">
        <v>58</v>
      </c>
      <c r="I7" s="47" t="s">
        <v>12</v>
      </c>
      <c r="J7" s="43" t="s">
        <v>55</v>
      </c>
    </row>
    <row r="8" spans="1:10" ht="15.75" customHeight="1" x14ac:dyDescent="0.35">
      <c r="A8" s="19" t="str">
        <f>CONCATENATE("bussdo:","cell/",ROWS(A$8:A8))</f>
        <v>bussdo:cell/1</v>
      </c>
      <c r="B8" s="58" t="s">
        <v>24</v>
      </c>
      <c r="C8" s="59" t="s">
        <v>27</v>
      </c>
      <c r="D8" s="60" t="s">
        <v>45</v>
      </c>
      <c r="E8" s="36" t="s">
        <v>25</v>
      </c>
      <c r="F8" s="23">
        <v>1</v>
      </c>
      <c r="G8" s="11" t="s">
        <v>26</v>
      </c>
      <c r="H8" s="16" t="s">
        <v>61</v>
      </c>
      <c r="I8" s="46"/>
      <c r="J8" s="15"/>
    </row>
    <row r="9" spans="1:10" ht="15.75" customHeight="1" x14ac:dyDescent="0.35">
      <c r="A9" s="19" t="str">
        <f>CONCATENATE("bussdo:","cell/",ROWS(A$8:A9))</f>
        <v>bussdo:cell/2</v>
      </c>
      <c r="B9" s="33" t="s">
        <v>24</v>
      </c>
      <c r="C9" s="34" t="s">
        <v>28</v>
      </c>
      <c r="D9" s="20" t="s">
        <v>51</v>
      </c>
      <c r="E9" s="37" t="s">
        <v>39</v>
      </c>
      <c r="F9" s="23">
        <v>1</v>
      </c>
      <c r="G9" s="38" t="s">
        <v>40</v>
      </c>
      <c r="H9" s="16" t="s">
        <v>61</v>
      </c>
      <c r="I9" s="48" t="s">
        <v>94</v>
      </c>
      <c r="J9" s="15"/>
    </row>
    <row r="10" spans="1:10" ht="15.75" customHeight="1" x14ac:dyDescent="0.35">
      <c r="A10" s="19" t="str">
        <f>CONCATENATE("bussdo:","cell/",ROWS(A$8:A10))</f>
        <v>bussdo:cell/3</v>
      </c>
      <c r="B10" s="16" t="s">
        <v>24</v>
      </c>
      <c r="C10" s="17" t="s">
        <v>29</v>
      </c>
      <c r="D10" s="20" t="s">
        <v>46</v>
      </c>
      <c r="E10" s="21" t="s">
        <v>39</v>
      </c>
      <c r="F10" s="23">
        <v>1</v>
      </c>
      <c r="G10" s="38" t="s">
        <v>40</v>
      </c>
      <c r="H10" s="16" t="s">
        <v>61</v>
      </c>
      <c r="I10" s="46"/>
      <c r="J10" s="42" t="s">
        <v>90</v>
      </c>
    </row>
    <row r="11" spans="1:10" ht="15.75" customHeight="1" x14ac:dyDescent="0.35">
      <c r="A11" s="19" t="str">
        <f>CONCATENATE("bussdo:","cell/",ROWS(A$8:A11))</f>
        <v>bussdo:cell/4</v>
      </c>
      <c r="B11" s="16" t="s">
        <v>24</v>
      </c>
      <c r="C11" s="17" t="s">
        <v>30</v>
      </c>
      <c r="D11" s="20" t="s">
        <v>47</v>
      </c>
      <c r="E11" s="21" t="s">
        <v>39</v>
      </c>
      <c r="F11" s="23">
        <v>0.7</v>
      </c>
      <c r="G11" s="38" t="s">
        <v>40</v>
      </c>
      <c r="H11" s="16" t="s">
        <v>61</v>
      </c>
      <c r="I11" s="46"/>
      <c r="J11" s="42" t="s">
        <v>90</v>
      </c>
    </row>
    <row r="12" spans="1:10" ht="15.75" customHeight="1" x14ac:dyDescent="0.35">
      <c r="A12" s="19" t="str">
        <f>CONCATENATE("bussdo:","cell/",ROWS(A$8:A12))</f>
        <v>bussdo:cell/5</v>
      </c>
      <c r="B12" s="16" t="s">
        <v>24</v>
      </c>
      <c r="C12" s="17" t="s">
        <v>31</v>
      </c>
      <c r="D12" s="20" t="s">
        <v>48</v>
      </c>
      <c r="E12" s="21" t="s">
        <v>25</v>
      </c>
      <c r="F12" s="23">
        <v>1</v>
      </c>
      <c r="G12" s="39" t="s">
        <v>41</v>
      </c>
      <c r="H12" s="16" t="s">
        <v>61</v>
      </c>
      <c r="I12" s="46"/>
      <c r="J12" s="15"/>
    </row>
    <row r="13" spans="1:10" ht="15.75" customHeight="1" x14ac:dyDescent="0.35">
      <c r="A13" s="19" t="str">
        <f>CONCATENATE("bussdo:","cell/",ROWS(A$8:A13))</f>
        <v>bussdo:cell/6</v>
      </c>
      <c r="B13" s="16" t="s">
        <v>24</v>
      </c>
      <c r="C13" s="17" t="s">
        <v>32</v>
      </c>
      <c r="D13" s="20" t="s">
        <v>52</v>
      </c>
      <c r="E13" s="21" t="s">
        <v>39</v>
      </c>
      <c r="F13" s="23">
        <v>1</v>
      </c>
      <c r="G13" s="38" t="s">
        <v>40</v>
      </c>
      <c r="H13" s="16" t="s">
        <v>61</v>
      </c>
      <c r="I13" s="53"/>
      <c r="J13" s="15"/>
    </row>
    <row r="14" spans="1:10" ht="15.75" customHeight="1" x14ac:dyDescent="0.35">
      <c r="A14" s="19" t="str">
        <f>CONCATENATE("bussdo:","cell/",ROWS(A$8:A14))</f>
        <v>bussdo:cell/7</v>
      </c>
      <c r="B14" s="16" t="s">
        <v>24</v>
      </c>
      <c r="C14" s="17" t="s">
        <v>33</v>
      </c>
      <c r="D14" s="20" t="s">
        <v>49</v>
      </c>
      <c r="E14" s="21" t="s">
        <v>39</v>
      </c>
      <c r="F14" s="13">
        <v>1</v>
      </c>
      <c r="G14" s="38" t="s">
        <v>40</v>
      </c>
      <c r="H14" s="16" t="s">
        <v>61</v>
      </c>
      <c r="I14" s="46"/>
      <c r="J14" s="15"/>
    </row>
    <row r="15" spans="1:10" ht="15.75" customHeight="1" x14ac:dyDescent="0.35">
      <c r="A15" s="19" t="str">
        <f>CONCATENATE("bussdo:","cell/",ROWS(A$8:A15))</f>
        <v>bussdo:cell/8</v>
      </c>
      <c r="B15" s="16" t="s">
        <v>24</v>
      </c>
      <c r="C15" s="17" t="s">
        <v>34</v>
      </c>
      <c r="D15" s="20" t="s">
        <v>53</v>
      </c>
      <c r="E15" s="21" t="s">
        <v>39</v>
      </c>
      <c r="F15" s="13">
        <v>0.7</v>
      </c>
      <c r="G15" s="38" t="s">
        <v>40</v>
      </c>
      <c r="H15" s="16" t="s">
        <v>61</v>
      </c>
      <c r="I15" s="48" t="s">
        <v>91</v>
      </c>
      <c r="J15" s="42" t="s">
        <v>90</v>
      </c>
    </row>
    <row r="16" spans="1:10" ht="15.75" customHeight="1" x14ac:dyDescent="0.35">
      <c r="A16" s="19" t="str">
        <f>CONCATENATE("bussdo:","cell/",ROWS(A$8:A16))</f>
        <v>bussdo:cell/9</v>
      </c>
      <c r="B16" s="16" t="s">
        <v>24</v>
      </c>
      <c r="C16" s="17" t="s">
        <v>35</v>
      </c>
      <c r="D16" s="20" t="s">
        <v>50</v>
      </c>
      <c r="E16" s="21" t="s">
        <v>25</v>
      </c>
      <c r="F16" s="13">
        <v>1</v>
      </c>
      <c r="G16" s="39" t="s">
        <v>41</v>
      </c>
      <c r="H16" s="16" t="s">
        <v>61</v>
      </c>
      <c r="I16" s="46"/>
      <c r="J16" s="15"/>
    </row>
    <row r="17" spans="1:10" ht="15.75" customHeight="1" x14ac:dyDescent="0.35">
      <c r="A17" s="19" t="str">
        <f>CONCATENATE("bussdo:","cell/",ROWS(A$8:A17))</f>
        <v>bussdo:cell/10</v>
      </c>
      <c r="B17" s="16" t="s">
        <v>24</v>
      </c>
      <c r="C17" s="17" t="s">
        <v>36</v>
      </c>
      <c r="D17" s="20" t="s">
        <v>42</v>
      </c>
      <c r="E17" s="21" t="s">
        <v>25</v>
      </c>
      <c r="F17" s="13">
        <v>1</v>
      </c>
      <c r="G17" s="39" t="s">
        <v>41</v>
      </c>
      <c r="H17" s="16" t="s">
        <v>61</v>
      </c>
      <c r="I17" s="46"/>
      <c r="J17" s="15"/>
    </row>
    <row r="18" spans="1:10" ht="15.75" customHeight="1" x14ac:dyDescent="0.35">
      <c r="A18" s="19" t="str">
        <f>CONCATENATE("bussdo:","cell/",ROWS(A$8:A18))</f>
        <v>bussdo:cell/11</v>
      </c>
      <c r="B18" s="16" t="s">
        <v>24</v>
      </c>
      <c r="C18" s="17" t="s">
        <v>37</v>
      </c>
      <c r="D18" s="20" t="s">
        <v>51</v>
      </c>
      <c r="E18" s="21" t="s">
        <v>25</v>
      </c>
      <c r="F18" s="13">
        <v>1</v>
      </c>
      <c r="G18" s="39" t="s">
        <v>41</v>
      </c>
      <c r="H18" s="16" t="s">
        <v>61</v>
      </c>
      <c r="I18" s="46"/>
      <c r="J18" s="15"/>
    </row>
    <row r="19" spans="1:10" ht="15.75" customHeight="1" x14ac:dyDescent="0.35">
      <c r="A19" s="19" t="str">
        <f>CONCATENATE("bussdo:","cell/",ROWS(A$8:A19))</f>
        <v>bussdo:cell/12</v>
      </c>
      <c r="B19" s="16" t="s">
        <v>24</v>
      </c>
      <c r="C19" s="17" t="s">
        <v>38</v>
      </c>
      <c r="D19" s="20" t="s">
        <v>49</v>
      </c>
      <c r="E19" s="21" t="s">
        <v>39</v>
      </c>
      <c r="F19" s="13">
        <v>1</v>
      </c>
      <c r="G19" s="39" t="s">
        <v>40</v>
      </c>
      <c r="H19" s="16" t="s">
        <v>61</v>
      </c>
      <c r="I19" s="46"/>
      <c r="J19" s="15"/>
    </row>
    <row r="20" spans="1:10" ht="15.75" customHeight="1" x14ac:dyDescent="0.35">
      <c r="A20" s="19" t="str">
        <f>CONCATENATE("bussdo:","cell/",ROWS(A$8:A20))</f>
        <v>bussdo:cell/13</v>
      </c>
      <c r="B20" s="16" t="s">
        <v>24</v>
      </c>
      <c r="C20" s="17" t="s">
        <v>70</v>
      </c>
      <c r="D20" s="42" t="s">
        <v>88</v>
      </c>
      <c r="E20" s="40" t="s">
        <v>39</v>
      </c>
      <c r="F20" s="13">
        <v>1</v>
      </c>
      <c r="G20" s="41" t="s">
        <v>89</v>
      </c>
      <c r="H20" s="16" t="s">
        <v>61</v>
      </c>
      <c r="I20" s="46"/>
      <c r="J20" s="15"/>
    </row>
    <row r="21" spans="1:10" ht="15.75" customHeight="1" x14ac:dyDescent="0.35">
      <c r="A21" s="62" t="str">
        <f>CONCATENATE("bussdo:","cell/",ROWS(A$8:A21))</f>
        <v>bussdo:cell/14</v>
      </c>
      <c r="B21" s="16" t="s">
        <v>24</v>
      </c>
      <c r="C21" s="17" t="s">
        <v>71</v>
      </c>
      <c r="D21" s="18"/>
      <c r="E21" s="40"/>
      <c r="F21" s="13"/>
      <c r="G21" s="11"/>
      <c r="H21" s="16" t="s">
        <v>61</v>
      </c>
      <c r="I21" s="46"/>
      <c r="J21" s="15"/>
    </row>
    <row r="22" spans="1:10" ht="15.75" customHeight="1" x14ac:dyDescent="0.35">
      <c r="A22" s="62" t="str">
        <f>CONCATENATE("bussdo:","cell/",ROWS(A$8:A22))</f>
        <v>bussdo:cell/15</v>
      </c>
      <c r="B22" s="16" t="s">
        <v>24</v>
      </c>
      <c r="C22" t="s">
        <v>72</v>
      </c>
      <c r="D22" s="42"/>
      <c r="E22" s="40"/>
      <c r="F22" s="15"/>
      <c r="G22" s="41"/>
      <c r="H22" s="16" t="s">
        <v>61</v>
      </c>
      <c r="I22" s="46"/>
      <c r="J22" s="15"/>
    </row>
    <row r="23" spans="1:10" ht="15.75" customHeight="1" x14ac:dyDescent="0.35">
      <c r="A23" s="62" t="str">
        <f>CONCATENATE("bussdo:","cell/",ROWS(A$8:A23))</f>
        <v>bussdo:cell/16</v>
      </c>
      <c r="B23" s="16" t="s">
        <v>24</v>
      </c>
      <c r="C23" s="17" t="s">
        <v>73</v>
      </c>
      <c r="D23" s="15"/>
      <c r="E23" s="40"/>
      <c r="F23" s="15"/>
      <c r="G23" s="41"/>
      <c r="H23" s="16" t="s">
        <v>61</v>
      </c>
      <c r="I23" s="46"/>
      <c r="J23" s="15"/>
    </row>
    <row r="24" spans="1:10" ht="15.75" customHeight="1" x14ac:dyDescent="0.35">
      <c r="A24" s="62" t="str">
        <f>CONCATENATE("bussdo:","cell/",ROWS(A$8:A24))</f>
        <v>bussdo:cell/17</v>
      </c>
      <c r="B24" s="16" t="s">
        <v>24</v>
      </c>
      <c r="C24" t="s">
        <v>74</v>
      </c>
      <c r="D24" s="20"/>
      <c r="E24" s="21"/>
      <c r="F24" s="15"/>
      <c r="G24" s="11"/>
      <c r="H24" s="16" t="s">
        <v>61</v>
      </c>
      <c r="I24" s="48"/>
      <c r="J24" s="15"/>
    </row>
    <row r="25" spans="1:10" ht="15.75" customHeight="1" x14ac:dyDescent="0.35">
      <c r="A25" s="62" t="str">
        <f>CONCATENATE("bussdo:","cell/",ROWS(A$8:A25))</f>
        <v>bussdo:cell/18</v>
      </c>
      <c r="B25" s="16" t="s">
        <v>24</v>
      </c>
      <c r="C25" s="15" t="s">
        <v>75</v>
      </c>
      <c r="D25" s="15"/>
      <c r="E25" s="40"/>
      <c r="F25" s="15"/>
      <c r="G25" s="41"/>
      <c r="H25" s="16" t="s">
        <v>61</v>
      </c>
      <c r="I25" s="46"/>
      <c r="J25" s="15"/>
    </row>
    <row r="26" spans="1:10" ht="15.75" customHeight="1" x14ac:dyDescent="0.35">
      <c r="A26" s="62" t="str">
        <f>CONCATENATE("bussdo:","cell/",ROWS(A$8:A26))</f>
        <v>bussdo:cell/19</v>
      </c>
      <c r="B26" s="16" t="s">
        <v>24</v>
      </c>
      <c r="C26" s="15" t="s">
        <v>76</v>
      </c>
      <c r="D26" s="15"/>
      <c r="E26" s="40"/>
      <c r="F26" s="15"/>
      <c r="G26" s="41"/>
      <c r="H26" s="16" t="s">
        <v>61</v>
      </c>
      <c r="I26" s="46"/>
      <c r="J26" s="15"/>
    </row>
    <row r="27" spans="1:10" ht="15.75" customHeight="1" x14ac:dyDescent="0.35">
      <c r="A27" s="62" t="str">
        <f>CONCATENATE("bussdo:","cell/",ROWS(A$8:A27))</f>
        <v>bussdo:cell/20</v>
      </c>
      <c r="B27" s="16" t="s">
        <v>24</v>
      </c>
      <c r="C27" s="15" t="s">
        <v>77</v>
      </c>
      <c r="D27" s="42"/>
      <c r="E27" s="40"/>
      <c r="F27" s="15"/>
      <c r="G27" s="41"/>
      <c r="H27" s="16" t="s">
        <v>61</v>
      </c>
      <c r="I27" s="46"/>
      <c r="J27" s="15"/>
    </row>
    <row r="28" spans="1:10" ht="15.75" customHeight="1" x14ac:dyDescent="0.35">
      <c r="A28" s="19" t="str">
        <f>CONCATENATE("bussdo:","cell/",ROWS(A$8:A28))</f>
        <v>bussdo:cell/21</v>
      </c>
      <c r="B28" s="16" t="s">
        <v>24</v>
      </c>
      <c r="C28" s="17" t="s">
        <v>69</v>
      </c>
      <c r="D28" s="42" t="s">
        <v>88</v>
      </c>
      <c r="E28" s="40" t="s">
        <v>39</v>
      </c>
      <c r="F28" s="13">
        <v>1</v>
      </c>
      <c r="G28" s="41" t="s">
        <v>89</v>
      </c>
      <c r="H28" s="16" t="s">
        <v>61</v>
      </c>
      <c r="I28" s="46"/>
      <c r="J28" s="15"/>
    </row>
    <row r="29" spans="1:10" ht="15.75" customHeight="1" x14ac:dyDescent="0.35">
      <c r="A29" s="19" t="str">
        <f>CONCATENATE("bussdo:","cell/",ROWS(A$8:A29))</f>
        <v>bussdo:cell/22</v>
      </c>
      <c r="B29" s="16" t="s">
        <v>24</v>
      </c>
      <c r="C29" s="17" t="s">
        <v>78</v>
      </c>
      <c r="D29" s="20" t="s">
        <v>87</v>
      </c>
      <c r="E29" s="21" t="s">
        <v>25</v>
      </c>
      <c r="F29" s="13">
        <v>1</v>
      </c>
      <c r="G29" s="39" t="s">
        <v>41</v>
      </c>
      <c r="H29" s="16" t="s">
        <v>61</v>
      </c>
      <c r="I29" s="48"/>
      <c r="J29" s="15"/>
    </row>
    <row r="30" spans="1:10" ht="15.75" customHeight="1" x14ac:dyDescent="0.35">
      <c r="A30" s="19" t="str">
        <f>CONCATENATE("bussdo:","cell/",ROWS(A$8:A30))</f>
        <v>bussdo:cell/23</v>
      </c>
      <c r="B30" s="16" t="s">
        <v>24</v>
      </c>
      <c r="C30" t="s">
        <v>79</v>
      </c>
      <c r="D30" s="20" t="s">
        <v>46</v>
      </c>
      <c r="E30" s="21" t="s">
        <v>39</v>
      </c>
      <c r="F30" s="13">
        <v>0.7</v>
      </c>
      <c r="G30" s="39" t="s">
        <v>40</v>
      </c>
      <c r="H30" s="16" t="s">
        <v>61</v>
      </c>
      <c r="I30" s="48" t="s">
        <v>92</v>
      </c>
      <c r="J30" s="42" t="s">
        <v>90</v>
      </c>
    </row>
    <row r="31" spans="1:10" ht="15.75" customHeight="1" x14ac:dyDescent="0.35">
      <c r="A31" s="62" t="str">
        <f>CONCATENATE("bussdo:","cell/",ROWS(A$8:A31))</f>
        <v>bussdo:cell/24</v>
      </c>
      <c r="B31" s="16" t="s">
        <v>24</v>
      </c>
      <c r="C31" s="17" t="s">
        <v>80</v>
      </c>
      <c r="D31" s="20"/>
      <c r="E31" s="40"/>
      <c r="F31" s="15"/>
      <c r="G31" s="41"/>
      <c r="H31" s="16" t="s">
        <v>61</v>
      </c>
      <c r="I31" s="48" t="s">
        <v>93</v>
      </c>
      <c r="J31" s="15"/>
    </row>
    <row r="32" spans="1:10" ht="15.75" customHeight="1" x14ac:dyDescent="0.35">
      <c r="A32" s="62" t="str">
        <f>CONCATENATE("bussdo:","cell/",ROWS(A$8:A32))</f>
        <v>bussdo:cell/25</v>
      </c>
      <c r="B32" s="16" t="s">
        <v>24</v>
      </c>
      <c r="C32" s="17" t="s">
        <v>81</v>
      </c>
      <c r="D32" s="18"/>
      <c r="E32" s="21"/>
      <c r="F32" s="13"/>
      <c r="G32" s="11"/>
      <c r="H32" s="16" t="s">
        <v>61</v>
      </c>
      <c r="I32" s="46"/>
      <c r="J32" s="15"/>
    </row>
    <row r="33" spans="1:10" ht="15.75" customHeight="1" x14ac:dyDescent="0.35">
      <c r="A33" s="62" t="str">
        <f>CONCATENATE("bussdo:","cell/",ROWS(A$8:A33))</f>
        <v>bussdo:cell/26</v>
      </c>
      <c r="B33" s="16" t="s">
        <v>24</v>
      </c>
      <c r="C33" s="17" t="s">
        <v>82</v>
      </c>
      <c r="D33" s="20"/>
      <c r="E33" s="40"/>
      <c r="F33" s="15"/>
      <c r="G33" s="41"/>
      <c r="H33" s="16" t="s">
        <v>61</v>
      </c>
      <c r="I33" s="46"/>
      <c r="J33" s="15"/>
    </row>
    <row r="34" spans="1:10" ht="15.75" customHeight="1" x14ac:dyDescent="0.35">
      <c r="A34" s="19" t="str">
        <f>CONCATENATE("bussdo:","cell/",ROWS(A$8:A34))</f>
        <v>bussdo:cell/27</v>
      </c>
      <c r="B34" s="16" t="s">
        <v>24</v>
      </c>
      <c r="C34" s="17" t="s">
        <v>83</v>
      </c>
      <c r="D34" s="20" t="s">
        <v>120</v>
      </c>
      <c r="E34" s="21" t="s">
        <v>39</v>
      </c>
      <c r="F34" s="13">
        <v>0.7</v>
      </c>
      <c r="G34" s="39" t="s">
        <v>40</v>
      </c>
      <c r="H34" s="16" t="s">
        <v>61</v>
      </c>
      <c r="I34" s="48" t="s">
        <v>95</v>
      </c>
      <c r="J34" s="42" t="s">
        <v>90</v>
      </c>
    </row>
    <row r="35" spans="1:10" ht="15.75" customHeight="1" x14ac:dyDescent="0.35">
      <c r="A35" s="19" t="str">
        <f>CONCATENATE("bussdo:","cell/",ROWS(A$8:A35))</f>
        <v>bussdo:cell/28</v>
      </c>
      <c r="B35" s="16" t="s">
        <v>24</v>
      </c>
      <c r="C35" s="17" t="s">
        <v>84</v>
      </c>
      <c r="D35" s="20" t="s">
        <v>86</v>
      </c>
      <c r="E35" s="40" t="s">
        <v>25</v>
      </c>
      <c r="F35" s="67">
        <v>1</v>
      </c>
      <c r="G35" s="39" t="s">
        <v>41</v>
      </c>
      <c r="H35" s="16" t="s">
        <v>61</v>
      </c>
      <c r="I35" s="46"/>
      <c r="J35" s="15"/>
    </row>
    <row r="36" spans="1:10" ht="15.75" customHeight="1" x14ac:dyDescent="0.35">
      <c r="A36" s="52" t="str">
        <f>CONCATENATE("bussdo:","cell/",ROWS(A$8:A36))</f>
        <v>bussdo:cell/29</v>
      </c>
      <c r="B36" s="64" t="s">
        <v>24</v>
      </c>
      <c r="C36" s="65" t="s">
        <v>85</v>
      </c>
      <c r="D36" s="57" t="s">
        <v>54</v>
      </c>
      <c r="E36" s="66" t="s">
        <v>39</v>
      </c>
      <c r="F36" s="23">
        <v>1</v>
      </c>
      <c r="G36" s="68" t="s">
        <v>40</v>
      </c>
      <c r="H36" s="64" t="s">
        <v>61</v>
      </c>
      <c r="I36" s="69"/>
      <c r="J36" s="65"/>
    </row>
    <row r="37" spans="1:10" ht="15.75" customHeight="1" x14ac:dyDescent="0.35">
      <c r="A37" s="63" t="str">
        <f>CONCATENATE("bussdo:","cell/",ROWS(A$8:A37))</f>
        <v>bussdo:cell/30</v>
      </c>
      <c r="B37" s="64" t="s">
        <v>24</v>
      </c>
      <c r="C37" s="65" t="s">
        <v>110</v>
      </c>
      <c r="D37" s="90"/>
      <c r="E37" s="66"/>
      <c r="F37" s="23"/>
      <c r="G37" s="68"/>
      <c r="H37" s="64" t="s">
        <v>61</v>
      </c>
      <c r="I37" s="69"/>
      <c r="J37" s="65"/>
    </row>
    <row r="38" spans="1:10" ht="15.75" customHeight="1" x14ac:dyDescent="0.35">
      <c r="A38" s="70" t="str">
        <f>CONCATENATE("bussdo:","cell/",ROWS(A$8:A38))</f>
        <v>bussdo:cell/31</v>
      </c>
      <c r="B38" s="16" t="s">
        <v>24</v>
      </c>
      <c r="C38" s="15" t="s">
        <v>96</v>
      </c>
      <c r="D38" s="15"/>
      <c r="E38" s="40"/>
      <c r="F38" s="15"/>
      <c r="G38" s="15"/>
      <c r="H38" s="16" t="s">
        <v>61</v>
      </c>
      <c r="I38" s="15"/>
      <c r="J38" s="15"/>
    </row>
    <row r="39" spans="1:10" ht="15.75" customHeight="1" x14ac:dyDescent="0.35">
      <c r="A39" s="71" t="str">
        <f>CONCATENATE("bussdo:","cell/",ROWS(A$8:A39))</f>
        <v>bussdo:cell/32</v>
      </c>
      <c r="B39" s="16" t="s">
        <v>24</v>
      </c>
      <c r="C39" s="15" t="s">
        <v>97</v>
      </c>
      <c r="D39" s="20" t="s">
        <v>98</v>
      </c>
      <c r="E39" s="40" t="s">
        <v>25</v>
      </c>
      <c r="F39" s="23">
        <v>0.7</v>
      </c>
      <c r="G39" s="42" t="s">
        <v>41</v>
      </c>
      <c r="H39" s="16" t="s">
        <v>61</v>
      </c>
      <c r="I39" s="42" t="s">
        <v>99</v>
      </c>
      <c r="J39" s="15"/>
    </row>
    <row r="40" spans="1:10" ht="15.75" customHeight="1" x14ac:dyDescent="0.35">
      <c r="A40" s="71" t="str">
        <f>CONCATENATE("bussdo:","cell/",ROWS(A$8:A40))</f>
        <v>bussdo:cell/33</v>
      </c>
      <c r="B40" s="16" t="s">
        <v>24</v>
      </c>
      <c r="C40" s="89" t="s">
        <v>108</v>
      </c>
      <c r="D40" s="89" t="s">
        <v>109</v>
      </c>
      <c r="E40" s="85" t="s">
        <v>25</v>
      </c>
      <c r="F40" s="86">
        <v>1</v>
      </c>
      <c r="G40" s="92" t="s">
        <v>41</v>
      </c>
      <c r="H40" s="16" t="s">
        <v>61</v>
      </c>
      <c r="I40" s="42"/>
      <c r="J40" s="15"/>
    </row>
    <row r="41" spans="1:10" ht="15.75" customHeight="1" x14ac:dyDescent="0.35">
      <c r="A41" s="71" t="str">
        <f>CONCATENATE("bussdo:","cell/",ROWS(A$8:A41))</f>
        <v>bussdo:cell/34</v>
      </c>
      <c r="B41" s="16" t="s">
        <v>24</v>
      </c>
      <c r="C41" t="s">
        <v>100</v>
      </c>
      <c r="D41" s="76" t="s">
        <v>101</v>
      </c>
      <c r="E41" s="77" t="s">
        <v>25</v>
      </c>
      <c r="F41" s="78">
        <v>1</v>
      </c>
      <c r="G41" s="72" t="s">
        <v>26</v>
      </c>
      <c r="H41" s="16" t="s">
        <v>61</v>
      </c>
      <c r="I41" s="15"/>
      <c r="J41" s="15"/>
    </row>
    <row r="42" spans="1:10" ht="15.75" customHeight="1" x14ac:dyDescent="0.35">
      <c r="A42" s="71" t="str">
        <f>CONCATENATE("bussdo:","cell/",ROWS(A$8:A42))</f>
        <v>bussdo:cell/35</v>
      </c>
      <c r="B42" s="16" t="s">
        <v>24</v>
      </c>
      <c r="C42" s="74" t="s">
        <v>102</v>
      </c>
      <c r="D42" s="81" t="s">
        <v>103</v>
      </c>
      <c r="E42" s="77" t="s">
        <v>39</v>
      </c>
      <c r="F42" s="78">
        <v>1</v>
      </c>
      <c r="G42" s="81" t="s">
        <v>40</v>
      </c>
      <c r="H42" s="16" t="s">
        <v>61</v>
      </c>
      <c r="I42" s="15"/>
      <c r="J42" s="15"/>
    </row>
    <row r="43" spans="1:10" ht="15.75" customHeight="1" x14ac:dyDescent="0.35">
      <c r="A43" s="71" t="str">
        <f>CONCATENATE("bussdo:","cell/",ROWS(A$8:A43))</f>
        <v>bussdo:cell/36</v>
      </c>
      <c r="B43" s="16" t="s">
        <v>24</v>
      </c>
      <c r="C43" s="74" t="s">
        <v>104</v>
      </c>
      <c r="D43" s="81" t="s">
        <v>105</v>
      </c>
      <c r="E43" s="80" t="s">
        <v>25</v>
      </c>
      <c r="F43" s="73">
        <v>1</v>
      </c>
      <c r="G43" s="79" t="s">
        <v>41</v>
      </c>
      <c r="H43" s="16" t="s">
        <v>61</v>
      </c>
      <c r="I43" s="15"/>
      <c r="J43" s="15"/>
    </row>
    <row r="44" spans="1:10" ht="15.75" customHeight="1" x14ac:dyDescent="0.35">
      <c r="A44" s="71" t="str">
        <f>CONCATENATE("bussdo:","cell/",ROWS(A$8:A44))</f>
        <v>bussdo:cell/37</v>
      </c>
      <c r="B44" s="16" t="s">
        <v>24</v>
      </c>
      <c r="C44" s="75" t="s">
        <v>106</v>
      </c>
      <c r="D44" s="82" t="s">
        <v>107</v>
      </c>
      <c r="E44" s="80" t="s">
        <v>25</v>
      </c>
      <c r="F44" s="73">
        <v>1</v>
      </c>
      <c r="G44" s="79" t="s">
        <v>41</v>
      </c>
      <c r="H44" s="16" t="s">
        <v>61</v>
      </c>
      <c r="I44" s="15"/>
      <c r="J44" s="15"/>
    </row>
    <row r="45" spans="1:10" ht="15.75" customHeight="1" x14ac:dyDescent="0.35">
      <c r="A45" s="71" t="str">
        <f>CONCATENATE("bussdo:","cell/",ROWS(A$8:A45))</f>
        <v>bussdo:cell/38</v>
      </c>
      <c r="B45" s="16" t="s">
        <v>24</v>
      </c>
      <c r="C45" s="84" t="s">
        <v>111</v>
      </c>
      <c r="D45" s="89" t="s">
        <v>117</v>
      </c>
      <c r="E45" s="88" t="s">
        <v>25</v>
      </c>
      <c r="F45" s="83">
        <v>1</v>
      </c>
      <c r="G45" s="87" t="s">
        <v>41</v>
      </c>
      <c r="H45" s="16" t="s">
        <v>61</v>
      </c>
      <c r="I45" s="15"/>
      <c r="J45" s="42" t="s">
        <v>90</v>
      </c>
    </row>
    <row r="46" spans="1:10" ht="15.75" customHeight="1" x14ac:dyDescent="0.35">
      <c r="A46" s="94" t="str">
        <f>CONCATENATE("bussdo:","cell/",ROWS(A$8:A46))</f>
        <v>bussdo:cell/39</v>
      </c>
      <c r="B46" s="64" t="s">
        <v>24</v>
      </c>
      <c r="C46" s="65" t="s">
        <v>112</v>
      </c>
      <c r="D46" s="91" t="s">
        <v>116</v>
      </c>
      <c r="E46" s="95" t="s">
        <v>25</v>
      </c>
      <c r="F46" s="96">
        <v>1</v>
      </c>
      <c r="G46" s="97" t="s">
        <v>41</v>
      </c>
      <c r="H46" s="64" t="s">
        <v>61</v>
      </c>
      <c r="I46" s="65"/>
      <c r="J46" s="98" t="s">
        <v>90</v>
      </c>
    </row>
    <row r="47" spans="1:10" ht="15.75" customHeight="1" x14ac:dyDescent="0.35">
      <c r="A47" s="70" t="str">
        <f>CONCATENATE("bussdo:","cell/",ROWS(A$8:A47))</f>
        <v>bussdo:cell/40</v>
      </c>
      <c r="B47" s="16" t="s">
        <v>24</v>
      </c>
      <c r="C47" s="15" t="s">
        <v>113</v>
      </c>
      <c r="D47" s="15"/>
      <c r="E47" s="40"/>
      <c r="F47" s="15"/>
      <c r="G47" s="15"/>
      <c r="H47" s="16" t="s">
        <v>61</v>
      </c>
      <c r="I47" s="15"/>
      <c r="J47" s="15"/>
    </row>
    <row r="48" spans="1:10" ht="15.75" customHeight="1" x14ac:dyDescent="0.35">
      <c r="A48" s="71" t="str">
        <f>CONCATENATE("bussdo:","cell/",ROWS(A$8:A48))</f>
        <v>bussdo:cell/41</v>
      </c>
      <c r="B48" s="16" t="s">
        <v>24</v>
      </c>
      <c r="C48" s="15" t="s">
        <v>114</v>
      </c>
      <c r="D48" s="89" t="s">
        <v>119</v>
      </c>
      <c r="E48" s="88" t="s">
        <v>25</v>
      </c>
      <c r="F48" s="86">
        <v>1</v>
      </c>
      <c r="G48" s="89" t="s">
        <v>41</v>
      </c>
      <c r="H48" s="16" t="s">
        <v>61</v>
      </c>
      <c r="I48" s="15"/>
      <c r="J48" s="15"/>
    </row>
    <row r="49" spans="1:10" ht="15.75" customHeight="1" x14ac:dyDescent="0.35">
      <c r="A49" s="71" t="str">
        <f>CONCATENATE("bussdo:","cell/",ROWS(A$8:A49))</f>
        <v>bussdo:cell/42</v>
      </c>
      <c r="B49" s="16" t="s">
        <v>24</v>
      </c>
      <c r="C49" s="15" t="s">
        <v>115</v>
      </c>
      <c r="D49" s="89" t="s">
        <v>118</v>
      </c>
      <c r="E49" s="88" t="s">
        <v>25</v>
      </c>
      <c r="F49" s="86">
        <v>1</v>
      </c>
      <c r="G49" s="89" t="s">
        <v>41</v>
      </c>
      <c r="H49" s="16" t="s">
        <v>61</v>
      </c>
      <c r="I49" s="15"/>
      <c r="J49" s="15"/>
    </row>
    <row r="50" spans="1:10" ht="15.75" customHeight="1" x14ac:dyDescent="0.25">
      <c r="D50" s="93"/>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D13" r:id="rId14" xr:uid="{378D7DFA-CB7D-4F7A-8B95-7F48C97BECDA}"/>
    <hyperlink ref="C4" r:id="rId15" xr:uid="{A492FB7B-A4B8-4B4E-B125-F388D39CD3D5}"/>
    <hyperlink ref="C5" r:id="rId16" xr:uid="{D9A894F7-DB85-4079-9539-6F33F4DBE2DB}"/>
    <hyperlink ref="D15" r:id="rId17" xr:uid="{9A4231D2-6E40-4854-AEAA-98CB30B96174}"/>
    <hyperlink ref="D44" r:id="rId18" xr:uid="{C052D5D7-5CF6-4AA8-93FF-3230E297880B}"/>
    <hyperlink ref="C45" r:id="rId19" location="memberOf" xr:uid="{CB4B1206-9E5E-4B93-8933-B89879196E29}"/>
  </hyperlinks>
  <pageMargins left="0.7" right="0.7" top="0.75" bottom="0.75" header="0.3" footer="0.3"/>
  <pageSetup paperSize="9" orientation="portrait" r:id="rId2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2024-03-12T13:40:57Z</dcterms:modified>
</cp:coreProperties>
</file>